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SISTEMAS\gestionTI2026\modules\laboratorio\muestra\plantilla\"/>
    </mc:Choice>
  </mc:AlternateContent>
  <xr:revisionPtr revIDLastSave="0" documentId="13_ncr:1_{6281012A-5069-4C32-844F-B21BF3384188}" xr6:coauthVersionLast="47" xr6:coauthVersionMax="47" xr10:uidLastSave="{00000000-0000-0000-0000-000000000000}"/>
  <bookViews>
    <workbookView xWindow="38280" yWindow="9915" windowWidth="29040" windowHeight="15840" tabRatio="905" firstSheet="2" activeTab="2" xr2:uid="{00000000-000D-0000-FFFF-FFFF00000000}"/>
  </bookViews>
  <sheets>
    <sheet name="MARZO 2022" sheetId="1" state="hidden" r:id="rId1"/>
    <sheet name="GRAFICOS- MARZO2022" sheetId="2" state="hidden" r:id="rId2"/>
    <sheet name="FEBRERO 2025" sheetId="22" r:id="rId3"/>
    <sheet name="JULIO 2025 " sheetId="23" r:id="rId4"/>
    <sheet name="NOVIEMBRE 2025" sheetId="24" r:id="rId5"/>
    <sheet name="JUNIO 2023" sheetId="4" state="hidden" r:id="rId6"/>
    <sheet name="JULIO 2023 " sheetId="20" state="hidden" r:id="rId7"/>
    <sheet name="MAYO" sheetId="9" state="hidden" r:id="rId8"/>
    <sheet name="SETIEMBRE 2023" sheetId="21" state="hidden" r:id="rId9"/>
    <sheet name="JUNIO" sheetId="10" state="hidden" r:id="rId10"/>
    <sheet name="JULIO" sheetId="11" state="hidden" r:id="rId11"/>
    <sheet name="AGOSTO" sheetId="12" state="hidden" r:id="rId12"/>
    <sheet name="SETIEMBRE" sheetId="13" state="hidden" r:id="rId13"/>
    <sheet name="OCTUBRE" sheetId="14" state="hidden" r:id="rId14"/>
    <sheet name="NOVIEMBRE" sheetId="15" state="hidden" r:id="rId15"/>
    <sheet name="DICIEMBRE" sheetId="19" state="hidden" r:id="rId16"/>
    <sheet name="microbiologia" sheetId="7" state="hidden" r:id="rId17"/>
    <sheet name="ABRIL VS MARZO" sheetId="5" state="hidden" r:id="rId18"/>
    <sheet name="TOLERABCIA DE CULTIVOS ACONDUT" sheetId="8" state="hidden" r:id="rId19"/>
    <sheet name="graficos abril vs marzo" sheetId="6" state="hidden" r:id="rId20"/>
    <sheet name="PARAMETROS FISICOS" sheetId="16" state="hidden" r:id="rId21"/>
    <sheet name="PARAMETROS QUIMICOS  " sheetId="18" state="hidden" r:id="rId22"/>
    <sheet name="Hoja1" sheetId="17" state="hidden" r:id="rId23"/>
  </sheets>
  <definedNames>
    <definedName name="_xlnm.Print_Area" localSheetId="11">AGOSTO!$A$1:$AB$35</definedName>
    <definedName name="_xlnm.Print_Area" localSheetId="15">DICIEMBRE!$A$1:$AB$40</definedName>
    <definedName name="_xlnm.Print_Area" localSheetId="2">'FEBRERO 2025'!$A$1:$N$41</definedName>
    <definedName name="_xlnm.Print_Area" localSheetId="10">JULIO!$A$1:$N$27</definedName>
    <definedName name="_xlnm.Print_Area" localSheetId="6">'JULIO 2023 '!$A$1:$N$32</definedName>
    <definedName name="_xlnm.Print_Area" localSheetId="3">'JULIO 2025 '!$A$1:$N$47</definedName>
    <definedName name="_xlnm.Print_Area" localSheetId="9">JUNIO!$A$1:$N$33</definedName>
    <definedName name="_xlnm.Print_Area" localSheetId="5">'JUNIO 2023'!$A$1:$N$31</definedName>
    <definedName name="_xlnm.Print_Area" localSheetId="7">MAYO!$A$1:$N$33</definedName>
    <definedName name="_xlnm.Print_Area" localSheetId="14">NOVIEMBRE!$A$1:$AB$40</definedName>
    <definedName name="_xlnm.Print_Area" localSheetId="4">'NOVIEMBRE 2025'!$A$1:$N$47</definedName>
    <definedName name="_xlnm.Print_Area" localSheetId="13">OCTUBRE!$A$1:$AB$35</definedName>
    <definedName name="_xlnm.Print_Area" localSheetId="12">SETIEMBRE!$A$1:$AB$35</definedName>
    <definedName name="_xlnm.Print_Area" localSheetId="8">'SETIEMBRE 2023'!$A$1:$N$32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4" i="24" l="1"/>
  <c r="M34" i="24"/>
  <c r="N33" i="24"/>
  <c r="M33" i="24"/>
  <c r="N32" i="24"/>
  <c r="M32" i="24"/>
  <c r="N31" i="24"/>
  <c r="M31" i="24"/>
  <c r="N30" i="24"/>
  <c r="M30" i="24"/>
  <c r="N29" i="24"/>
  <c r="M29" i="24"/>
  <c r="N28" i="24"/>
  <c r="M28" i="24"/>
  <c r="N27" i="24"/>
  <c r="M27" i="24"/>
  <c r="N26" i="24"/>
  <c r="M26" i="24"/>
  <c r="N25" i="24"/>
  <c r="M25" i="24"/>
  <c r="N24" i="24"/>
  <c r="M24" i="24"/>
  <c r="N23" i="24"/>
  <c r="M23" i="24"/>
  <c r="N22" i="24"/>
  <c r="M22" i="24"/>
  <c r="N21" i="24"/>
  <c r="M21" i="24"/>
  <c r="N20" i="24"/>
  <c r="M20" i="24"/>
  <c r="N19" i="24"/>
  <c r="M19" i="24"/>
  <c r="N18" i="24"/>
  <c r="M18" i="24"/>
  <c r="N17" i="24"/>
  <c r="M17" i="24"/>
  <c r="N16" i="24"/>
  <c r="M16" i="24"/>
  <c r="N15" i="24"/>
  <c r="M15" i="24"/>
  <c r="N14" i="24"/>
  <c r="M14" i="24"/>
  <c r="N13" i="24"/>
  <c r="M13" i="24"/>
  <c r="N12" i="24"/>
  <c r="M12" i="24"/>
  <c r="N11" i="24"/>
  <c r="M11" i="24"/>
  <c r="N10" i="24"/>
  <c r="M10" i="24"/>
  <c r="N25" i="23" l="1"/>
  <c r="N26" i="23"/>
  <c r="N27" i="23"/>
  <c r="N28" i="23"/>
  <c r="N29" i="23"/>
  <c r="N30" i="23"/>
  <c r="N31" i="23"/>
  <c r="M25" i="23"/>
  <c r="M26" i="23"/>
  <c r="M27" i="23"/>
  <c r="M28" i="23"/>
  <c r="M29" i="23"/>
  <c r="M30" i="23"/>
  <c r="N21" i="23" l="1"/>
  <c r="N22" i="23"/>
  <c r="N23" i="23"/>
  <c r="N24" i="23"/>
  <c r="M21" i="23"/>
  <c r="M22" i="23"/>
  <c r="M23" i="23"/>
  <c r="M24" i="23"/>
  <c r="N14" i="23"/>
  <c r="M14" i="23"/>
  <c r="N34" i="23"/>
  <c r="M34" i="23"/>
  <c r="N33" i="23"/>
  <c r="M33" i="23"/>
  <c r="N32" i="23"/>
  <c r="M32" i="23"/>
  <c r="M31" i="23"/>
  <c r="N20" i="23"/>
  <c r="M20" i="23"/>
  <c r="N19" i="23"/>
  <c r="M19" i="23"/>
  <c r="N18" i="23"/>
  <c r="M18" i="23"/>
  <c r="N17" i="23"/>
  <c r="M17" i="23"/>
  <c r="N16" i="23"/>
  <c r="M16" i="23"/>
  <c r="N15" i="23"/>
  <c r="M15" i="23"/>
  <c r="N13" i="23"/>
  <c r="M13" i="23"/>
  <c r="N12" i="23"/>
  <c r="M12" i="23"/>
  <c r="N11" i="23"/>
  <c r="M11" i="23"/>
  <c r="N10" i="23"/>
  <c r="M10" i="23"/>
  <c r="L22" i="22"/>
  <c r="K22" i="22"/>
  <c r="J22" i="22"/>
  <c r="I22" i="22"/>
  <c r="H22" i="22"/>
  <c r="G22" i="22"/>
  <c r="F22" i="22"/>
  <c r="N18" i="22" l="1"/>
  <c r="N19" i="22"/>
  <c r="N20" i="22"/>
  <c r="N21" i="22"/>
  <c r="N23" i="22"/>
  <c r="N24" i="22"/>
  <c r="M18" i="22"/>
  <c r="M19" i="22"/>
  <c r="M20" i="22"/>
  <c r="M21" i="22"/>
  <c r="M23" i="22"/>
  <c r="M24" i="22"/>
  <c r="M22" i="22"/>
  <c r="N22" i="22" l="1"/>
  <c r="N10" i="22" l="1"/>
  <c r="M10" i="22"/>
  <c r="N28" i="22" l="1"/>
  <c r="M28" i="22"/>
  <c r="N27" i="22"/>
  <c r="M27" i="22"/>
  <c r="N26" i="22"/>
  <c r="M26" i="22"/>
  <c r="N25" i="22"/>
  <c r="M25" i="22"/>
  <c r="N17" i="22"/>
  <c r="M17" i="22"/>
  <c r="N16" i="22"/>
  <c r="M16" i="22"/>
  <c r="N15" i="22"/>
  <c r="M15" i="22"/>
  <c r="N13" i="22"/>
  <c r="M13" i="22"/>
  <c r="N12" i="22"/>
  <c r="M12" i="22"/>
  <c r="N11" i="22"/>
  <c r="M11" i="22"/>
  <c r="N23" i="21" l="1"/>
  <c r="M23" i="21"/>
  <c r="L20" i="21"/>
  <c r="K20" i="21"/>
  <c r="J20" i="21"/>
  <c r="I20" i="21"/>
  <c r="H20" i="21"/>
  <c r="G20" i="21"/>
  <c r="F20" i="21"/>
  <c r="M16" i="21"/>
  <c r="N16" i="21"/>
  <c r="M17" i="21"/>
  <c r="N17" i="21"/>
  <c r="N29" i="21"/>
  <c r="M29" i="21"/>
  <c r="N28" i="21"/>
  <c r="M28" i="21"/>
  <c r="N27" i="21"/>
  <c r="M27" i="21"/>
  <c r="N26" i="21"/>
  <c r="M26" i="21"/>
  <c r="N25" i="21"/>
  <c r="M25" i="21"/>
  <c r="N24" i="21"/>
  <c r="M24" i="21"/>
  <c r="N22" i="21"/>
  <c r="M22" i="21"/>
  <c r="N21" i="21"/>
  <c r="M21" i="21"/>
  <c r="N19" i="21"/>
  <c r="M19" i="21"/>
  <c r="N18" i="21"/>
  <c r="M18" i="21"/>
  <c r="N15" i="21"/>
  <c r="M15" i="21"/>
  <c r="N14" i="21"/>
  <c r="M14" i="21"/>
  <c r="N13" i="21"/>
  <c r="M13" i="21"/>
  <c r="N12" i="21"/>
  <c r="N11" i="21"/>
  <c r="M11" i="21"/>
  <c r="N10" i="21"/>
  <c r="N20" i="21" l="1"/>
  <c r="M20" i="21"/>
  <c r="M12" i="21"/>
  <c r="M10" i="21"/>
  <c r="N18" i="20"/>
  <c r="M18" i="20"/>
  <c r="L17" i="20"/>
  <c r="K17" i="20"/>
  <c r="J17" i="20"/>
  <c r="I17" i="20"/>
  <c r="H17" i="20"/>
  <c r="G17" i="20"/>
  <c r="F17" i="20"/>
  <c r="L12" i="20"/>
  <c r="J10" i="20"/>
  <c r="I10" i="20"/>
  <c r="H10" i="20"/>
  <c r="G10" i="20"/>
  <c r="F10" i="20"/>
  <c r="N29" i="20"/>
  <c r="M29" i="20"/>
  <c r="N28" i="20"/>
  <c r="M28" i="20"/>
  <c r="N27" i="20"/>
  <c r="M27" i="20"/>
  <c r="N26" i="20"/>
  <c r="M26" i="20"/>
  <c r="N25" i="20"/>
  <c r="M25" i="20"/>
  <c r="N24" i="20"/>
  <c r="M24" i="20"/>
  <c r="N23" i="20"/>
  <c r="M23" i="20"/>
  <c r="N22" i="20"/>
  <c r="M22" i="20"/>
  <c r="N21" i="20"/>
  <c r="M21" i="20"/>
  <c r="N20" i="20"/>
  <c r="M20" i="20"/>
  <c r="N19" i="20"/>
  <c r="M19" i="20"/>
  <c r="N16" i="20"/>
  <c r="M16" i="20"/>
  <c r="N15" i="20"/>
  <c r="M15" i="20"/>
  <c r="N14" i="20"/>
  <c r="M14" i="20"/>
  <c r="N13" i="20"/>
  <c r="M13" i="20"/>
  <c r="N11" i="20"/>
  <c r="M11" i="20"/>
  <c r="N17" i="20" l="1"/>
  <c r="M10" i="20"/>
  <c r="M17" i="20"/>
  <c r="N10" i="20"/>
  <c r="M12" i="20"/>
  <c r="L17" i="4"/>
  <c r="K17" i="4"/>
  <c r="J17" i="4"/>
  <c r="I17" i="4"/>
  <c r="H17" i="4"/>
  <c r="G17" i="4"/>
  <c r="F17" i="4"/>
  <c r="M14" i="4"/>
  <c r="N14" i="4"/>
  <c r="J10" i="4"/>
  <c r="I10" i="4"/>
  <c r="H10" i="4"/>
  <c r="G10" i="4"/>
  <c r="F10" i="4"/>
  <c r="N12" i="20" l="1"/>
  <c r="L12" i="4"/>
  <c r="K12" i="4"/>
  <c r="H12" i="4"/>
  <c r="G12" i="4"/>
  <c r="F12" i="4"/>
  <c r="J12" i="4"/>
  <c r="I12" i="4"/>
  <c r="N11" i="4" l="1"/>
  <c r="N12" i="4"/>
  <c r="N13" i="4"/>
  <c r="N15" i="4"/>
  <c r="N16" i="4"/>
  <c r="N18" i="4"/>
  <c r="N19" i="4"/>
  <c r="N20" i="4"/>
  <c r="N21" i="4"/>
  <c r="N22" i="4"/>
  <c r="N23" i="4"/>
  <c r="N24" i="4"/>
  <c r="N25" i="4"/>
  <c r="N26" i="4"/>
  <c r="N27" i="4"/>
  <c r="N28" i="4"/>
  <c r="N10" i="4"/>
  <c r="M11" i="4"/>
  <c r="M12" i="4"/>
  <c r="M13" i="4"/>
  <c r="M15" i="4"/>
  <c r="M16" i="4"/>
  <c r="M18" i="4"/>
  <c r="M19" i="4"/>
  <c r="M20" i="4"/>
  <c r="M21" i="4"/>
  <c r="M22" i="4"/>
  <c r="M23" i="4"/>
  <c r="M24" i="4"/>
  <c r="M25" i="4"/>
  <c r="M26" i="4"/>
  <c r="M27" i="4"/>
  <c r="M28" i="4"/>
  <c r="M10" i="4"/>
  <c r="N17" i="4"/>
  <c r="M17" i="4"/>
  <c r="O6" i="16" l="1"/>
  <c r="O17" i="16" l="1"/>
  <c r="L16" i="19" l="1"/>
  <c r="K16" i="19"/>
  <c r="J16" i="19"/>
  <c r="I16" i="19"/>
  <c r="H16" i="19"/>
  <c r="G16" i="19"/>
  <c r="F16" i="19"/>
  <c r="J9" i="19"/>
  <c r="I9" i="19"/>
  <c r="H9" i="19"/>
  <c r="G9" i="19"/>
  <c r="F9" i="19"/>
  <c r="L19" i="19"/>
  <c r="K19" i="19"/>
  <c r="J19" i="19"/>
  <c r="I19" i="19"/>
  <c r="H19" i="19"/>
  <c r="G19" i="19"/>
  <c r="F19" i="19"/>
  <c r="O173" i="16" l="1"/>
  <c r="O172" i="16"/>
  <c r="O162" i="16"/>
  <c r="O161" i="16"/>
  <c r="O151" i="16"/>
  <c r="O150" i="16"/>
  <c r="O140" i="16"/>
  <c r="O139" i="16"/>
  <c r="O129" i="16"/>
  <c r="O128" i="16"/>
  <c r="O118" i="16"/>
  <c r="O117" i="16"/>
  <c r="O107" i="16"/>
  <c r="O106" i="16"/>
  <c r="O96" i="16"/>
  <c r="O95" i="16"/>
  <c r="O85" i="16"/>
  <c r="O84" i="16"/>
  <c r="O74" i="16"/>
  <c r="O73" i="16"/>
  <c r="O63" i="16"/>
  <c r="O62" i="16"/>
  <c r="O28" i="16" l="1"/>
  <c r="N117" i="18" l="1"/>
  <c r="N116" i="18"/>
  <c r="N106" i="18"/>
  <c r="N105" i="18"/>
  <c r="N95" i="18"/>
  <c r="N94" i="18"/>
  <c r="N84" i="18"/>
  <c r="N83" i="18"/>
  <c r="N73" i="18"/>
  <c r="N72" i="18"/>
  <c r="N61" i="18"/>
  <c r="N62" i="18"/>
  <c r="N50" i="18"/>
  <c r="N39" i="18"/>
  <c r="N51" i="18"/>
  <c r="N40" i="18"/>
  <c r="N29" i="18"/>
  <c r="N28" i="18"/>
  <c r="N18" i="18"/>
  <c r="N17" i="18"/>
  <c r="N7" i="18"/>
  <c r="N6" i="18"/>
  <c r="O51" i="16"/>
  <c r="O50" i="16"/>
  <c r="O40" i="16"/>
  <c r="O39" i="16"/>
  <c r="O29" i="16"/>
  <c r="O18" i="16"/>
  <c r="O7" i="16" l="1"/>
  <c r="L16" i="15" l="1"/>
  <c r="K16" i="15"/>
  <c r="J16" i="15"/>
  <c r="I16" i="15"/>
  <c r="H16" i="15"/>
  <c r="G16" i="15"/>
  <c r="F16" i="15"/>
  <c r="G19" i="15" l="1"/>
  <c r="H19" i="15"/>
  <c r="I19" i="15"/>
  <c r="J19" i="15"/>
  <c r="K19" i="15"/>
  <c r="L19" i="15"/>
  <c r="F19" i="15"/>
  <c r="L9" i="15" l="1"/>
  <c r="K9" i="15"/>
  <c r="J9" i="15"/>
  <c r="I9" i="15"/>
  <c r="H9" i="15"/>
  <c r="G9" i="15"/>
  <c r="F9" i="15"/>
  <c r="L16" i="14" l="1"/>
  <c r="K16" i="14"/>
  <c r="J16" i="14"/>
  <c r="I16" i="14"/>
  <c r="H16" i="14"/>
  <c r="G16" i="14"/>
  <c r="F16" i="14"/>
  <c r="L16" i="13"/>
  <c r="K16" i="13"/>
  <c r="J16" i="13"/>
  <c r="I16" i="13"/>
  <c r="H16" i="13"/>
  <c r="G16" i="13"/>
  <c r="F16" i="13"/>
  <c r="L16" i="12" l="1"/>
  <c r="K16" i="12"/>
  <c r="J16" i="12"/>
  <c r="I16" i="12"/>
  <c r="H16" i="12"/>
  <c r="G16" i="12"/>
  <c r="F16" i="12"/>
  <c r="F17" i="11" l="1"/>
  <c r="G17" i="11"/>
  <c r="H17" i="11"/>
  <c r="I17" i="11"/>
  <c r="J17" i="11"/>
  <c r="K17" i="11"/>
  <c r="L17" i="11"/>
  <c r="J10" i="10" l="1"/>
  <c r="J12" i="10" s="1"/>
  <c r="G10" i="10"/>
  <c r="G12" i="10" s="1"/>
  <c r="L18" i="10"/>
  <c r="K18" i="10"/>
  <c r="J18" i="10"/>
  <c r="I18" i="10"/>
  <c r="H18" i="10"/>
  <c r="G18" i="10"/>
  <c r="F18" i="10"/>
  <c r="L17" i="10"/>
  <c r="K17" i="10"/>
  <c r="J17" i="10"/>
  <c r="I17" i="10"/>
  <c r="H17" i="10"/>
  <c r="G17" i="10"/>
  <c r="F17" i="10"/>
  <c r="L12" i="10"/>
  <c r="K12" i="10"/>
  <c r="I10" i="10"/>
  <c r="I12" i="10" s="1"/>
  <c r="H10" i="10"/>
  <c r="H12" i="10" s="1"/>
  <c r="F10" i="10"/>
  <c r="F12" i="10" s="1"/>
  <c r="H40" i="5" l="1"/>
  <c r="L35" i="5" l="1"/>
  <c r="K35" i="5"/>
  <c r="J35" i="5"/>
  <c r="I35" i="5"/>
  <c r="H35" i="5"/>
  <c r="G35" i="5"/>
  <c r="F35" i="5"/>
  <c r="L18" i="9" l="1"/>
  <c r="K18" i="9"/>
  <c r="J18" i="9"/>
  <c r="I18" i="9"/>
  <c r="H18" i="9"/>
  <c r="G18" i="9"/>
  <c r="F18" i="9"/>
  <c r="L17" i="9"/>
  <c r="K17" i="9"/>
  <c r="J17" i="9"/>
  <c r="I17" i="9"/>
  <c r="H17" i="9"/>
  <c r="G17" i="9"/>
  <c r="F17" i="9"/>
  <c r="J10" i="9"/>
  <c r="I10" i="9"/>
  <c r="H10" i="9"/>
  <c r="G10" i="9"/>
  <c r="F10" i="9"/>
  <c r="D41" i="5" l="1"/>
  <c r="L38" i="5"/>
  <c r="K38" i="5"/>
  <c r="G38" i="5"/>
  <c r="F38" i="5"/>
  <c r="G41" i="5"/>
  <c r="H41" i="5"/>
  <c r="I41" i="5"/>
  <c r="J41" i="5"/>
  <c r="K41" i="5"/>
  <c r="L41" i="5"/>
  <c r="F41" i="5"/>
  <c r="G36" i="5"/>
  <c r="H36" i="5"/>
  <c r="I36" i="5"/>
  <c r="J36" i="5"/>
  <c r="K36" i="5"/>
  <c r="L36" i="5"/>
  <c r="F36" i="5"/>
  <c r="B36" i="5"/>
  <c r="L33" i="5"/>
  <c r="K33" i="5"/>
  <c r="J33" i="5"/>
  <c r="I33" i="5"/>
  <c r="H33" i="5"/>
  <c r="G33" i="5"/>
  <c r="F33" i="5"/>
  <c r="L19" i="5"/>
  <c r="K19" i="5"/>
  <c r="J10" i="5"/>
  <c r="J19" i="5" s="1"/>
  <c r="I10" i="5"/>
  <c r="I19" i="5" s="1"/>
  <c r="H10" i="5"/>
  <c r="H19" i="5" s="1"/>
  <c r="G10" i="5"/>
  <c r="G19" i="5" s="1"/>
  <c r="F10" i="5"/>
  <c r="F19" i="5" s="1"/>
</calcChain>
</file>

<file path=xl/sharedStrings.xml><?xml version="1.0" encoding="utf-8"?>
<sst xmlns="http://schemas.openxmlformats.org/spreadsheetml/2006/main" count="3004" uniqueCount="383">
  <si>
    <t>Nº</t>
  </si>
  <si>
    <t xml:space="preserve">Código de La Muestra </t>
  </si>
  <si>
    <t>Descripción del Punto de Muestreo</t>
  </si>
  <si>
    <t>Coordenada WGS-84</t>
  </si>
  <si>
    <t>Zona</t>
  </si>
  <si>
    <t>Este</t>
  </si>
  <si>
    <t>Norte</t>
  </si>
  <si>
    <t>M-01</t>
  </si>
  <si>
    <t>Dren Bitín: antes de la entrega de sus aguas al DV-4.0</t>
  </si>
  <si>
    <t>17L</t>
  </si>
  <si>
    <t>M-02</t>
  </si>
  <si>
    <t>Dren DV-4.3: antes de la entrega de sus aguas al DV-4.0</t>
  </si>
  <si>
    <t>M-03</t>
  </si>
  <si>
    <t>Dren DV-4.0 (1): a 150 m aguas abajo desde la panamericana</t>
  </si>
  <si>
    <t>M-04</t>
  </si>
  <si>
    <t>Dren DV-4.0 (2): en el sector denominado Huancaquito Alto</t>
  </si>
  <si>
    <t>M-05</t>
  </si>
  <si>
    <t>M-06</t>
  </si>
  <si>
    <t>Canal Madre: a 500 m antes de llegar a la cámara de carga San José Virú</t>
  </si>
  <si>
    <t>Central Hidroeléctrica Virú San José: agua turbinada</t>
  </si>
  <si>
    <t xml:space="preserve">Altitud    
  m.s.n.m </t>
  </si>
  <si>
    <t>Dren DV-4.0 (3): antes de la entrega de sus aguas drenadas al río Virú en el sector Huancaquito pueblo</t>
  </si>
  <si>
    <t>M-07</t>
  </si>
  <si>
    <t>pH</t>
  </si>
  <si>
    <t>(mg/L)</t>
  </si>
  <si>
    <t>Canal Madre</t>
  </si>
  <si>
    <t>PUNTOS MONITOREO DE LA CALIDAD DE AGUA DRENADA DV-4.0 TRIBUTARIOS 
C.MADRE AGUA TURBINADA CHV - MARZO 2022</t>
  </si>
  <si>
    <t>Dren Bitín</t>
  </si>
  <si>
    <t>Dren DV-4.3</t>
  </si>
  <si>
    <t>Dren DV-4.0 (1)</t>
  </si>
  <si>
    <t>Dren DV-4.0 (2)</t>
  </si>
  <si>
    <t>Dren DV-4.0 (3)</t>
  </si>
  <si>
    <t>Central Hidroeléctrica Virú San José</t>
  </si>
  <si>
    <t>DS N° 004-2017 MINAM</t>
  </si>
  <si>
    <t>PARÁMETROS</t>
  </si>
  <si>
    <t>UM</t>
  </si>
  <si>
    <t>RESULTADOS ANÁLISIS QUIMICOS DE LA CALIDAD DE AGUA DRENADA DV-4.0 TRIBUTARIOS C.MADRE AGUA TURBINADA CHV 
 MARZO 2022</t>
  </si>
  <si>
    <t>-</t>
  </si>
  <si>
    <t>Sólidos Totales  Disueltos</t>
  </si>
  <si>
    <t>Temperatura</t>
  </si>
  <si>
    <t>°C</t>
  </si>
  <si>
    <t>Conductividad Eléctrica</t>
  </si>
  <si>
    <t>Turbidez</t>
  </si>
  <si>
    <t>Nitritos</t>
  </si>
  <si>
    <t>Zinc</t>
  </si>
  <si>
    <t>Dureza</t>
  </si>
  <si>
    <t>Sulfatos  (SO₄²-)</t>
  </si>
  <si>
    <t>Cloruros (Cl-)</t>
  </si>
  <si>
    <r>
      <t>Nitratos  (NO</t>
    </r>
    <r>
      <rPr>
        <sz val="5"/>
        <color rgb="FF000000"/>
        <rFont val="Calibri"/>
        <family val="2"/>
      </rPr>
      <t>3</t>
    </r>
    <r>
      <rPr>
        <sz val="9"/>
        <color rgb="FF000000"/>
        <rFont val="Calibri"/>
        <family val="2"/>
      </rPr>
      <t>-)</t>
    </r>
  </si>
  <si>
    <t>Manganeso (Mn)</t>
  </si>
  <si>
    <t>Hierro (Fe)</t>
  </si>
  <si>
    <t>Cobre (Cu)</t>
  </si>
  <si>
    <r>
      <t>Cromo Hexavalente (Cr</t>
    </r>
    <r>
      <rPr>
        <sz val="5"/>
        <color rgb="FF000000"/>
        <rFont val="Calibri"/>
        <family val="2"/>
      </rPr>
      <t>6+</t>
    </r>
    <r>
      <rPr>
        <sz val="9"/>
        <color rgb="FF000000"/>
        <rFont val="Calibri"/>
        <family val="2"/>
      </rPr>
      <t>)</t>
    </r>
  </si>
  <si>
    <t>NTU</t>
  </si>
  <si>
    <t>mg/L</t>
  </si>
  <si>
    <t>Coliformes
Termotolerantes</t>
  </si>
  <si>
    <t>Escherichia coli</t>
  </si>
  <si>
    <t>Coliformes
Totales</t>
  </si>
  <si>
    <t>NMP/100 ml</t>
  </si>
  <si>
    <t>1 000</t>
  </si>
  <si>
    <t>Riego</t>
  </si>
  <si>
    <t>Animales</t>
  </si>
  <si>
    <t>2 500</t>
  </si>
  <si>
    <t>5 000</t>
  </si>
  <si>
    <t>(µS/cm)</t>
  </si>
  <si>
    <t>6,5 – 8,5</t>
  </si>
  <si>
    <t>6,5 – 8,4</t>
  </si>
  <si>
    <t>0,2</t>
  </si>
  <si>
    <t>0,5</t>
  </si>
  <si>
    <t>0,1</t>
  </si>
  <si>
    <t>RESULTADOS ANÁLISIS FISICOS DE LA CALIDAD DE AGUA DRENADA DV-4.0 TRIBUTARIOS C.MADRE AGUA TURBINADA CHV 
ABRIL 2022</t>
  </si>
  <si>
    <t>RESULTADOS ANÁLISIS QUIMICOS DE LA CALIDAD DE AGUA DRENADA DV-4.0 TRIBUTARIOS C.MADRE AGUA TURBINADA CHV 
ABRIL  2022</t>
  </si>
  <si>
    <t>RESULTADOS ANÁLISISMICROBIOLOGICOS DE LA CALIDAD DE AGUA DRENADA DV-4.0 TRIBUTARIOS C.MADRE AGUA TURBINADA CHV 
ABRIL 2022</t>
  </si>
  <si>
    <t>M1</t>
  </si>
  <si>
    <t>M2</t>
  </si>
  <si>
    <t>M3</t>
  </si>
  <si>
    <t>M4</t>
  </si>
  <si>
    <t>M5</t>
  </si>
  <si>
    <t>M6</t>
  </si>
  <si>
    <t>M7</t>
  </si>
  <si>
    <t>ms</t>
  </si>
  <si>
    <t>us</t>
  </si>
  <si>
    <t>RESULTADOS ANÁLISIS FISICOS DE LA CALIDAD DE AGUA DRENADA DV-4.0 TRIBUTARIOS C.MADRE AGUA TURBINADA CHV  - ABRIL 2022</t>
  </si>
  <si>
    <t>RESULTADOS ANÁLISIS QUIMICOS DE LA CALIDAD DE AGUA DRENADA DV-4.0 TRIBUTARIOS C.MADRE AGUA TURBINADA CHV - ABRIL  2022</t>
  </si>
  <si>
    <t>ABRIL</t>
  </si>
  <si>
    <t>Turbidez - ABRIL</t>
  </si>
  <si>
    <t>Turbidez - MARZO</t>
  </si>
  <si>
    <t>Sulfatos  (SO₄²-) - ABRIL</t>
  </si>
  <si>
    <t>Sulfatos  (SO₄²-) - MARZO</t>
  </si>
  <si>
    <t xml:space="preserve">LMP-DS N° 004-2017 </t>
  </si>
  <si>
    <t>Cloruros (Cl-) - ABRIL</t>
  </si>
  <si>
    <t>Cloruros (Cl-) - MARZO</t>
  </si>
  <si>
    <t>COLIFORMES TOTALES</t>
  </si>
  <si>
    <t>COLIFORMES FECALES</t>
  </si>
  <si>
    <t>E.COLI</t>
  </si>
  <si>
    <t>PRESUNTIVA - CALDO LAURYL</t>
  </si>
  <si>
    <t>CONFIRMATIVA - CALDO BRILLA</t>
  </si>
  <si>
    <t>COLIFORMES TOTALES - RESULTADOS</t>
  </si>
  <si>
    <t>COLIFORMES FECALES - RESULTADOS</t>
  </si>
  <si>
    <t>E.COLI- RESULTADOS</t>
  </si>
  <si>
    <t>3.2.2</t>
  </si>
  <si>
    <t>3.2.3</t>
  </si>
  <si>
    <t>2.3.2</t>
  </si>
  <si>
    <t>2.2.2</t>
  </si>
  <si>
    <t>2.2.1</t>
  </si>
  <si>
    <t>1.2.3</t>
  </si>
  <si>
    <t>1.1.2</t>
  </si>
  <si>
    <t>1.1.1</t>
  </si>
  <si>
    <t>1.2.1</t>
  </si>
  <si>
    <t>confiamtiva</t>
  </si>
  <si>
    <t>0.0.1</t>
  </si>
  <si>
    <t>0.1.1</t>
  </si>
  <si>
    <t>1.1.0</t>
  </si>
  <si>
    <t>0.2.1</t>
  </si>
  <si>
    <t>1.0.0</t>
  </si>
  <si>
    <t>.00.1</t>
  </si>
  <si>
    <t>0.1.2</t>
  </si>
  <si>
    <r>
      <t>Nitratos  (NO</t>
    </r>
    <r>
      <rPr>
        <sz val="5"/>
        <color rgb="FF000000"/>
        <rFont val="Calibri"/>
        <family val="2"/>
      </rPr>
      <t>3</t>
    </r>
    <r>
      <rPr>
        <sz val="9"/>
        <color rgb="FF000000"/>
        <rFont val="Calibri"/>
        <family val="2"/>
      </rPr>
      <t>-) - MARZO</t>
    </r>
  </si>
  <si>
    <r>
      <t>Nitratos  (NO</t>
    </r>
    <r>
      <rPr>
        <sz val="5"/>
        <color rgb="FF000000"/>
        <rFont val="Calibri"/>
        <family val="2"/>
      </rPr>
      <t>3</t>
    </r>
    <r>
      <rPr>
        <sz val="9"/>
        <color rgb="FF000000"/>
        <rFont val="Calibri"/>
        <family val="2"/>
      </rPr>
      <t>-) - ABRIL</t>
    </r>
  </si>
  <si>
    <t>Manganeso (Mn) - ABRIL</t>
  </si>
  <si>
    <t>Manganeso (Mn) - MARZO</t>
  </si>
  <si>
    <t>Hierro (Fe) - ABRIL</t>
  </si>
  <si>
    <t>Hierro (Fe) - MARZO</t>
  </si>
  <si>
    <t>Cobre (Cu) - ABRIL</t>
  </si>
  <si>
    <t>Cobre (Cu) - MARZO</t>
  </si>
  <si>
    <t>LMP-DS N° 004-2017  - RIEGO</t>
  </si>
  <si>
    <t>LMP-DS N° 004-2017 - ANIMALES</t>
  </si>
  <si>
    <r>
      <t>Cromo Hexavalente (Cr</t>
    </r>
    <r>
      <rPr>
        <sz val="5"/>
        <color rgb="FF000000"/>
        <rFont val="Calibri"/>
        <family val="2"/>
      </rPr>
      <t>6+</t>
    </r>
    <r>
      <rPr>
        <sz val="9"/>
        <color rgb="FF000000"/>
        <rFont val="Calibri"/>
        <family val="2"/>
      </rPr>
      <t>) - ABRIL</t>
    </r>
  </si>
  <si>
    <r>
      <t>Cromo Hexavalente (Cr</t>
    </r>
    <r>
      <rPr>
        <sz val="5"/>
        <color rgb="FF000000"/>
        <rFont val="Calibri"/>
        <family val="2"/>
      </rPr>
      <t>6+</t>
    </r>
    <r>
      <rPr>
        <sz val="9"/>
        <color rgb="FF000000"/>
        <rFont val="Calibri"/>
        <family val="2"/>
      </rPr>
      <t>) - MARZO</t>
    </r>
  </si>
  <si>
    <t>Nitritos NO2− - MARZO</t>
  </si>
  <si>
    <t>Dureza - ABRIL</t>
  </si>
  <si>
    <t>Dureza - MARZO</t>
  </si>
  <si>
    <t xml:space="preserve">COLIFORMES TOTALES </t>
  </si>
  <si>
    <t>RIEGO NO RESTRINGIDO</t>
  </si>
  <si>
    <t>RIEGO RESTRINGIDO</t>
  </si>
  <si>
    <t>BEBIDA DE ANIMALES</t>
  </si>
  <si>
    <t>DS N° 004-2017</t>
  </si>
  <si>
    <t>RESULTADOS</t>
  </si>
  <si>
    <t>Cultivo</t>
  </si>
  <si>
    <t>CE límite (a) (dS/m)</t>
  </si>
  <si>
    <t>Tipo tolerancia</t>
  </si>
  <si>
    <t>Cebolla</t>
  </si>
  <si>
    <t>Sensible</t>
  </si>
  <si>
    <t>Cebolla tierna</t>
  </si>
  <si>
    <t>Guisante</t>
  </si>
  <si>
    <t>Judía</t>
  </si>
  <si>
    <t>Zanahoria</t>
  </si>
  <si>
    <t>Alfalfa</t>
  </si>
  <si>
    <t>Moderadamente sensible</t>
  </si>
  <si>
    <t>Apio</t>
  </si>
  <si>
    <t>Avena</t>
  </si>
  <si>
    <t>Berenjena</t>
  </si>
  <si>
    <t>Col Brócoli</t>
  </si>
  <si>
    <t>Calabaza</t>
  </si>
  <si>
    <t>Coliflor</t>
  </si>
  <si>
    <t>Espinaca</t>
  </si>
  <si>
    <t>Girasol</t>
  </si>
  <si>
    <t>Judía verde</t>
  </si>
  <si>
    <t>Lechuga</t>
  </si>
  <si>
    <t>Lino</t>
  </si>
  <si>
    <t>Maíz dulce</t>
  </si>
  <si>
    <t>Maíz grano</t>
  </si>
  <si>
    <t>Melón</t>
  </si>
  <si>
    <t>Patata</t>
  </si>
  <si>
    <t>Pepino</t>
  </si>
  <si>
    <t>Pimiento</t>
  </si>
  <si>
    <t>Rábano</t>
  </si>
  <si>
    <t>Sandía</t>
  </si>
  <si>
    <t>Tomate</t>
  </si>
  <si>
    <t>Alcachofa</t>
  </si>
  <si>
    <t>Sorgo grano</t>
  </si>
  <si>
    <t>Trigo</t>
  </si>
  <si>
    <t>Algodón</t>
  </si>
  <si>
    <t>Tolerante</t>
  </si>
  <si>
    <t>Cebada</t>
  </si>
  <si>
    <t>Remolacha azucarera</t>
  </si>
  <si>
    <t>Cultivos hortícolas:</t>
  </si>
  <si>
    <t>Cultivos leñosos:</t>
  </si>
  <si>
    <t>Aguacate</t>
  </si>
  <si>
    <t>Albaricoquero</t>
  </si>
  <si>
    <t>Almendro</t>
  </si>
  <si>
    <t>Cerezo</t>
  </si>
  <si>
    <t>Ciruelo</t>
  </si>
  <si>
    <t>Caqui</t>
  </si>
  <si>
    <t>Mandarino</t>
  </si>
  <si>
    <t>Manzano</t>
  </si>
  <si>
    <t>Limonero x Naranjo amargo</t>
  </si>
  <si>
    <t>Limonero x Citrus Macrophylla</t>
  </si>
  <si>
    <t>Melocotonero</t>
  </si>
  <si>
    <t>Naranjo</t>
  </si>
  <si>
    <t>Níspero</t>
  </si>
  <si>
    <t>Peral</t>
  </si>
  <si>
    <t>Pomelo</t>
  </si>
  <si>
    <t>Limonero x Mandar. Cleopatra</t>
  </si>
  <si>
    <t>Limonero</t>
  </si>
  <si>
    <t>Viña</t>
  </si>
  <si>
    <t>Granado</t>
  </si>
  <si>
    <t>Higuera</t>
  </si>
  <si>
    <t>Olivo</t>
  </si>
  <si>
    <t>Palmera</t>
  </si>
  <si>
    <t>Toronja</t>
  </si>
  <si>
    <t>Sensibilidad de diferentes cultivos hortícolas, frutales y extensivos al pH del medio</t>
  </si>
  <si>
    <t>HORTÍCOLAS</t>
  </si>
  <si>
    <t>FRUTALES</t>
  </si>
  <si>
    <t>EXTENSIVOS</t>
  </si>
  <si>
    <t>Acelga</t>
  </si>
  <si>
    <t>6.0-7.5</t>
  </si>
  <si>
    <t>Albaricoque</t>
  </si>
  <si>
    <t>6.0-6.8</t>
  </si>
  <si>
    <t>6.5-7.8</t>
  </si>
  <si>
    <t>6.1-7.4</t>
  </si>
  <si>
    <t>5.0-6.2</t>
  </si>
  <si>
    <t>5.4-6.0</t>
  </si>
  <si>
    <t>Avellano</t>
  </si>
  <si>
    <t>6.0-7.0</t>
  </si>
  <si>
    <t>Alpiste</t>
  </si>
  <si>
    <t>Boniato</t>
  </si>
  <si>
    <t>5.1-6.0</t>
  </si>
  <si>
    <t>Café</t>
  </si>
  <si>
    <t>5.0-7.0</t>
  </si>
  <si>
    <t>Altramuz</t>
  </si>
  <si>
    <t>Bróculi</t>
  </si>
  <si>
    <t>6.0-7.2</t>
  </si>
  <si>
    <t>Castaño</t>
  </si>
  <si>
    <t>5.0-6.5</t>
  </si>
  <si>
    <t>Arroz</t>
  </si>
  <si>
    <t>5.6-6.8</t>
  </si>
  <si>
    <t>Encina</t>
  </si>
  <si>
    <t>4.8-6.0</t>
  </si>
  <si>
    <t>5.2-7.1</t>
  </si>
  <si>
    <t>Grosellero</t>
  </si>
  <si>
    <t>Batatas</t>
  </si>
  <si>
    <t>5.3-6.5</t>
  </si>
  <si>
    <t>Col</t>
  </si>
  <si>
    <t>Cacahuete</t>
  </si>
  <si>
    <t>Col de Bruselas</t>
  </si>
  <si>
    <t>5.7-7.2</t>
  </si>
  <si>
    <t>5.3-6.7</t>
  </si>
  <si>
    <t>Caña de azúcar</t>
  </si>
  <si>
    <t>6.0-7.8</t>
  </si>
  <si>
    <t>5.3-6.8</t>
  </si>
  <si>
    <t>Cáñamo</t>
  </si>
  <si>
    <t>6.2-7.2</t>
  </si>
  <si>
    <t>Escarola</t>
  </si>
  <si>
    <t>Membrillero</t>
  </si>
  <si>
    <t>5.5-7.2</t>
  </si>
  <si>
    <t>6.4-7.8</t>
  </si>
  <si>
    <t>Espárrago</t>
  </si>
  <si>
    <t>6.3-7.5</t>
  </si>
  <si>
    <t>Centeno</t>
  </si>
  <si>
    <t>6.3-7.1</t>
  </si>
  <si>
    <t>Nogal</t>
  </si>
  <si>
    <t>6.2-7.8</t>
  </si>
  <si>
    <t>Colza</t>
  </si>
  <si>
    <t>5.8-7.1</t>
  </si>
  <si>
    <t>Fresa</t>
  </si>
  <si>
    <t>Dáctilo</t>
  </si>
  <si>
    <t>5.6-7.2</t>
  </si>
  <si>
    <t>Guisantes</t>
  </si>
  <si>
    <t>5.9-7.3</t>
  </si>
  <si>
    <t>Judías</t>
  </si>
  <si>
    <t>5.8-6.8</t>
  </si>
  <si>
    <t>Pino</t>
  </si>
  <si>
    <t>5.0-6.0</t>
  </si>
  <si>
    <t>Habas</t>
  </si>
  <si>
    <t>7.4-8.1</t>
  </si>
  <si>
    <t>Lechugas</t>
  </si>
  <si>
    <t>5.8-7.2</t>
  </si>
  <si>
    <t>Platanera</t>
  </si>
  <si>
    <t>Lenteja</t>
  </si>
  <si>
    <t>5.5-7.5</t>
  </si>
  <si>
    <t>Vid</t>
  </si>
  <si>
    <t>Maíz</t>
  </si>
  <si>
    <t>Nabo</t>
  </si>
  <si>
    <t>5.7-6.7</t>
  </si>
  <si>
    <t>Mijo</t>
  </si>
  <si>
    <t>5.1-6.8</t>
  </si>
  <si>
    <t>Mostaza</t>
  </si>
  <si>
    <t>6.0-8.0</t>
  </si>
  <si>
    <t>6.3-7.8</t>
  </si>
  <si>
    <t>Patatas</t>
  </si>
  <si>
    <t>5.0-5.8</t>
  </si>
  <si>
    <t>Soja</t>
  </si>
  <si>
    <t>6.1-7.2</t>
  </si>
  <si>
    <t>Remolacha</t>
  </si>
  <si>
    <t>6.0-7.6</t>
  </si>
  <si>
    <t>Sorgo</t>
  </si>
  <si>
    <t>5.8-7.5</t>
  </si>
  <si>
    <t>Tabaco</t>
  </si>
  <si>
    <t>5.5-7.3</t>
  </si>
  <si>
    <t>5.7-7.0</t>
  </si>
  <si>
    <t>Trébol blanco</t>
  </si>
  <si>
    <t>5.5-7.0</t>
  </si>
  <si>
    <t>ANALISIS MICROBIOLÓGICOS</t>
  </si>
  <si>
    <t>ANALISIS QUÍMICOS</t>
  </si>
  <si>
    <t>ANALISIS FÍSICOS</t>
  </si>
  <si>
    <t>Unidad de Medida</t>
  </si>
  <si>
    <t>Bebida Animales</t>
  </si>
  <si>
    <t>Riego Vegetales</t>
  </si>
  <si>
    <t>RESULTADOS ANÁLISIS FISICOS DE LA CALIDAD DE AGUA DRENADA DV-4.0 TRIBUTARIOS DE LA MARGEN IZQUIERDA DEL RIO VIRÚ
MAYO  2022</t>
  </si>
  <si>
    <t>*</t>
  </si>
  <si>
    <t>* no se cuenta con  reactivo para realizar este analisis</t>
  </si>
  <si>
    <t>Turbidez - MAYO</t>
  </si>
  <si>
    <t>Sulfatos  (SO₄²-) - MAYO</t>
  </si>
  <si>
    <t>Conductividad Eléctrica - ABRIL</t>
  </si>
  <si>
    <t>Conductividad Eléctrica - MAYO</t>
  </si>
  <si>
    <t xml:space="preserve">LMP-DS N° 004-2017 - RIEGO </t>
  </si>
  <si>
    <t>LMP-DS N° 004-2017 - BEBIDA ANIMALES</t>
  </si>
  <si>
    <t>pH - ABRIL</t>
  </si>
  <si>
    <t>ph - MAYO</t>
  </si>
  <si>
    <t>LMP-DS N° 004-2017</t>
  </si>
  <si>
    <t>Sólidos Totales  Disueltos - ABRIL</t>
  </si>
  <si>
    <t>Sólidos Totales  Disueltos - MAYO</t>
  </si>
  <si>
    <t>Temperatura - ABRIL</t>
  </si>
  <si>
    <t>Temperatura - MAYO</t>
  </si>
  <si>
    <t>Cloruros (Cl-) - MAYO</t>
  </si>
  <si>
    <r>
      <t>Nitratos  (NO</t>
    </r>
    <r>
      <rPr>
        <sz val="5"/>
        <color rgb="FF000000"/>
        <rFont val="Calibri"/>
        <family val="2"/>
      </rPr>
      <t>3</t>
    </r>
    <r>
      <rPr>
        <sz val="9"/>
        <color rgb="FF000000"/>
        <rFont val="Calibri"/>
        <family val="2"/>
      </rPr>
      <t>-) - MAYO</t>
    </r>
  </si>
  <si>
    <t>Manganeso (Mn) - MAYO</t>
  </si>
  <si>
    <t>Hierro (Fe) - MAYO</t>
  </si>
  <si>
    <t>Cobre (Cu) - MAYO</t>
  </si>
  <si>
    <r>
      <t>Cromo Hexavalente (Cr</t>
    </r>
    <r>
      <rPr>
        <sz val="5"/>
        <color rgb="FF000000"/>
        <rFont val="Calibri"/>
        <family val="2"/>
      </rPr>
      <t>6+</t>
    </r>
    <r>
      <rPr>
        <sz val="9"/>
        <color rgb="FF000000"/>
        <rFont val="Calibri"/>
        <family val="2"/>
      </rPr>
      <t>) - MAYO</t>
    </r>
  </si>
  <si>
    <t>RESULTADOS ANÁLISIS FISICOS DE LA CALIDAD DE AGUA DRENADA DV-4.0 TRIBUTARIOS DE LA MARGEN IZQUIERDA DEL RIO VIRÚ
JUNIO  2022</t>
  </si>
  <si>
    <t>* no se cuenta con  reactivo para realizar este analisis
+ no se cuenta con indumentaria minima requerida para su analisis</t>
  </si>
  <si>
    <t>6.4.</t>
  </si>
  <si>
    <t>RESULTADOS ANÁLISIS FISICOS DE LA CALIDAD DE AGUA DRENADA DV-4.0 TRIBUTARIOS DE LA MARGEN IZQUIERDA DEL RIO VIRÚ
JULIO  2022</t>
  </si>
  <si>
    <t>RESULTADOS ANÁLISIS FISICOS DE LA CALIDAD DE AGUA DRENADA DV-4.0 TRIBUTARIOS DE LA MARGEN IZQUIERDA DEL RIO VIRÚ
AGOSTO  2022</t>
  </si>
  <si>
    <r>
      <t>Nitratos  (NO</t>
    </r>
    <r>
      <rPr>
        <b/>
        <sz val="5"/>
        <color rgb="FF000000"/>
        <rFont val="Calibri"/>
        <family val="2"/>
      </rPr>
      <t>3</t>
    </r>
    <r>
      <rPr>
        <b/>
        <sz val="9"/>
        <color rgb="FF000000"/>
        <rFont val="Calibri"/>
        <family val="2"/>
      </rPr>
      <t>-)</t>
    </r>
  </si>
  <si>
    <t xml:space="preserve">Turbidez </t>
  </si>
  <si>
    <t>RESULTADOS ANÁLISIS FISICOS DE LA CALIDAD DE AGUA DRENADA DV-4.0 TRIBUTARIOS DE LA MARGEN IZQUIERDA DEL RIO VIRÚ
SETIEMBRE  2022</t>
  </si>
  <si>
    <t>RESULTADOS ANÁLISIS FISICOS DE LA CALIDAD DE AGUA DRENADA DV-4.0 TRIBUTARIOS DE LA MARGEN IZQUIERDA DEL RIO VIRÚ
OCTUBRE  2022</t>
  </si>
  <si>
    <t>COLIFORMES TERMOTOLERANTES</t>
  </si>
  <si>
    <t>RESULTADOS ANÁLISIS FISICOS DE LA CALIDAD DE AGUA DRENADA DV-4.0 TRIBUTARIOS DE LA MARGEN IZQUIERDA DEL RIO VIRÚ
NOVIEMBRE  2022</t>
  </si>
  <si>
    <r>
      <t>Nitritos(NO</t>
    </r>
    <r>
      <rPr>
        <b/>
        <sz val="5"/>
        <color rgb="FF000000"/>
        <rFont val="Calibri"/>
        <family val="2"/>
      </rPr>
      <t>2</t>
    </r>
    <r>
      <rPr>
        <b/>
        <sz val="9"/>
        <color rgb="FF000000"/>
        <rFont val="Calibri"/>
        <family val="2"/>
      </rPr>
      <t>-)</t>
    </r>
  </si>
  <si>
    <r>
      <t>Cromo Hexavalente (Cr</t>
    </r>
    <r>
      <rPr>
        <b/>
        <sz val="5"/>
        <color rgb="FF000000"/>
        <rFont val="Calibri"/>
        <family val="2"/>
      </rPr>
      <t>6+</t>
    </r>
    <r>
      <rPr>
        <b/>
        <sz val="9"/>
        <color rgb="FF000000"/>
        <rFont val="Calibri"/>
        <family val="2"/>
      </rPr>
      <t>)</t>
    </r>
  </si>
  <si>
    <t>Zinc (Zn)</t>
  </si>
  <si>
    <t xml:space="preserve"> GASTO (Cl-)</t>
  </si>
  <si>
    <t>LMP-DS N° 004-2017  - RIEGO Y ANIMALES</t>
  </si>
  <si>
    <t>MARZO</t>
  </si>
  <si>
    <t>MAYO</t>
  </si>
  <si>
    <t>JUNIO</t>
  </si>
  <si>
    <t>JULIO</t>
  </si>
  <si>
    <t>AGOSTO</t>
  </si>
  <si>
    <t>SEPTIEMBRE</t>
  </si>
  <si>
    <t>OCTUBRE</t>
  </si>
  <si>
    <t>NOVIEMBRE</t>
  </si>
  <si>
    <t>TURBIDEZ</t>
  </si>
  <si>
    <t>MUESTRA</t>
  </si>
  <si>
    <t>CONDUCTIVIDAD ELÉCTRICA</t>
  </si>
  <si>
    <t>SOLIDOS TOTALES DISUELTOS</t>
  </si>
  <si>
    <t>TEMPERATURA</t>
  </si>
  <si>
    <t>NO ESPECIFICA</t>
  </si>
  <si>
    <t>Nitratos  (NO3-)</t>
  </si>
  <si>
    <t>Nitritos(NO2-)</t>
  </si>
  <si>
    <t>Cromo Hexavalente (Cr6+)</t>
  </si>
  <si>
    <t>RESULTADOS ANÁLISIS FISICOS DE LA CALIDAD DE AGUA DRENADA DV-4.0 TRIBUTARIOS DE LA MARGEN IZQUIERDA DEL RIO VIRÚ
DICIEMBRE  2022</t>
  </si>
  <si>
    <t>DICIEMBRE</t>
  </si>
  <si>
    <t>6.5 - 8.5</t>
  </si>
  <si>
    <t>6.5 - 8.4</t>
  </si>
  <si>
    <t>SULFATOS  (SO₄²-)</t>
  </si>
  <si>
    <t>CLORUROS (Cl-)</t>
  </si>
  <si>
    <t>NITRATOS (NO3-)</t>
  </si>
  <si>
    <t>NITRITOS (NO2-)</t>
  </si>
  <si>
    <t>COBRE (Cu)</t>
  </si>
  <si>
    <t>CROMO HEXAVALENTE (Cr6+)</t>
  </si>
  <si>
    <t>MANGANESO (Mn)</t>
  </si>
  <si>
    <t>HIERRO (Fe)</t>
  </si>
  <si>
    <t>ZINC (Zn)</t>
  </si>
  <si>
    <t>NMP/100 ML</t>
  </si>
  <si>
    <r>
      <t>Nitritos  (NO</t>
    </r>
    <r>
      <rPr>
        <sz val="5"/>
        <color rgb="FF000000"/>
        <rFont val="Calibri"/>
        <family val="2"/>
      </rPr>
      <t>2</t>
    </r>
    <r>
      <rPr>
        <sz val="9"/>
        <color rgb="FF000000"/>
        <rFont val="Calibri"/>
        <family val="2"/>
      </rPr>
      <t>-)</t>
    </r>
  </si>
  <si>
    <t>RESULTADOS ANÁLISIS FISICOS DE LA CALIDAD DE AGUA DRENADA DV-4.0 TRIBUTARIOS DE LA MARGEN IZQUIERDA DEL RIO VIRÚ
JULIO  2023</t>
  </si>
  <si>
    <t>RESULTADOS ANÁLISIS FISICOS DE LA CALIDAD DE AGUA DRENADA DV-4.0 TRIBUTARIOS DE LA MARGEN IZQUIERDA DEL RIO VIRÚ
SETIEMBRE  2023</t>
  </si>
  <si>
    <t>RESULTADOS ANÁLISIS FISICOS DE LA CALIDAD DE AGUA DRENADA DV-4.0 TRIBUTARIOS DE LA MARGEN IZQUIERDA DEL RIO VIRÚ
JUNIO  2023</t>
  </si>
  <si>
    <t>MAX</t>
  </si>
  <si>
    <t>MIN</t>
  </si>
  <si>
    <r>
      <t>Nitritos  (NO</t>
    </r>
    <r>
      <rPr>
        <b/>
        <sz val="5"/>
        <color rgb="FF000000"/>
        <rFont val="Calibri"/>
        <family val="2"/>
      </rPr>
      <t>2</t>
    </r>
    <r>
      <rPr>
        <b/>
        <sz val="9"/>
        <color rgb="FF000000"/>
        <rFont val="Calibri"/>
        <family val="2"/>
      </rPr>
      <t>-)</t>
    </r>
  </si>
  <si>
    <t>RESULTADOS ANÁLISIS FISICOS DE LA CALIDAD DE AGUA DRENADA DV-4.0 TRIBUTARIOS DE LA MARGEN IZQUIERDA DEL RIO VIRÚ
FEBRERO 2025</t>
  </si>
  <si>
    <t>RESULTADOS ANÁLISIS FISICOS DE LA CALIDAD DE AGUA DRENADA DV-4.0 TRIBUTARIOS DE LA MARGEN IZQUIERDA DEL RIO VIRÚ
JULIO 2025</t>
  </si>
  <si>
    <t>Cloruros (Cl) (*)</t>
  </si>
  <si>
    <t>Calcio (Ca)  (*)</t>
  </si>
  <si>
    <t>Sodio (Na) (*)</t>
  </si>
  <si>
    <t>Amonio (NH4) (*)</t>
  </si>
  <si>
    <t>Magnesio (Mg) (*)</t>
  </si>
  <si>
    <t>Potasio (K) 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</si>
</sst>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 ;_ * \-#,##0.00_ ;_ * &quot;-&quot;??_ ;_ @_ "/>
    <numFmt numFmtId="165" formatCode="_ * #,##0_ ;_ * \-#,##0_ ;_ * &quot;-&quot;??_ ;_ @_ "/>
    <numFmt numFmtId="166" formatCode="0.0"/>
    <numFmt numFmtId="167" formatCode="_ * #,##0.0_ ;_ * \-#,##0.0_ ;_ * &quot;-&quot;??_ ;_ @_ "/>
    <numFmt numFmtId="168" formatCode="0.000"/>
    <numFmt numFmtId="169" formatCode="_ * #,##0.000_ ;_ * \-#,##0.000_ ;_ * &quot;-&quot;??_ ;_ @_ "/>
  </numFmts>
  <fonts count="3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rgb="FFFFFFFF"/>
      <name val="Calibri"/>
      <family val="2"/>
    </font>
    <font>
      <sz val="10"/>
      <color theme="1"/>
      <name val="Times New Roman"/>
      <family val="1"/>
    </font>
    <font>
      <sz val="9"/>
      <color rgb="FF000000"/>
      <name val="Calibri"/>
      <family val="2"/>
    </font>
    <font>
      <sz val="9"/>
      <name val="Calibri"/>
      <family val="2"/>
    </font>
    <font>
      <b/>
      <sz val="9"/>
      <color theme="0"/>
      <name val="Calibri"/>
      <family val="2"/>
    </font>
    <font>
      <sz val="8"/>
      <color rgb="FF000000"/>
      <name val="Calibri"/>
      <family val="2"/>
    </font>
    <font>
      <sz val="5"/>
      <color rgb="FF000000"/>
      <name val="Calibri"/>
      <family val="2"/>
    </font>
    <font>
      <sz val="11"/>
      <color theme="1"/>
      <name val="Calibri"/>
      <family val="2"/>
      <scheme val="minor"/>
    </font>
    <font>
      <sz val="9"/>
      <color rgb="FFFF0000"/>
      <name val="Calibri"/>
      <family val="2"/>
    </font>
    <font>
      <sz val="8"/>
      <color rgb="FF3C4043"/>
      <name val="Arial"/>
      <family val="2"/>
    </font>
    <font>
      <sz val="7"/>
      <color theme="1"/>
      <name val="Calibri"/>
      <family val="2"/>
      <scheme val="minor"/>
    </font>
    <font>
      <sz val="7"/>
      <color rgb="FF000000"/>
      <name val="Calibri"/>
      <family val="2"/>
    </font>
    <font>
      <sz val="7"/>
      <name val="Calibri"/>
      <family val="2"/>
    </font>
    <font>
      <sz val="7"/>
      <color rgb="FFFF0000"/>
      <name val="Calibri"/>
      <family val="2"/>
    </font>
    <font>
      <sz val="7"/>
      <color theme="0"/>
      <name val="Calibri"/>
      <family val="2"/>
    </font>
    <font>
      <b/>
      <sz val="9"/>
      <color theme="0"/>
      <name val="Calibri"/>
      <family val="2"/>
      <scheme val="minor"/>
    </font>
    <font>
      <b/>
      <sz val="18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202020"/>
      <name val="Arial"/>
      <family val="2"/>
    </font>
    <font>
      <b/>
      <sz val="15"/>
      <color theme="1"/>
      <name val="Calibri"/>
      <family val="2"/>
      <scheme val="minor"/>
    </font>
    <font>
      <b/>
      <sz val="12"/>
      <color rgb="FF202020"/>
      <name val="Arial"/>
      <family val="2"/>
    </font>
    <font>
      <b/>
      <sz val="9"/>
      <color rgb="FF000000"/>
      <name val="Calibri"/>
      <family val="2"/>
    </font>
    <font>
      <b/>
      <sz val="5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11"/>
      <name val="Calibri"/>
      <family val="2"/>
      <scheme val="minor"/>
    </font>
    <font>
      <b/>
      <sz val="9"/>
      <name val="Calibri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9"/>
      <color rgb="FFFF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6D7F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DE56A7"/>
        <bgColor indexed="64"/>
      </patternFill>
    </fill>
    <fill>
      <patternFill patternType="solid">
        <fgColor rgb="FFE1FF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76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theme="6" tint="-0.24994659260841701"/>
      </bottom>
      <diagonal/>
    </border>
    <border>
      <left style="medium">
        <color theme="0"/>
      </left>
      <right style="medium">
        <color theme="0"/>
      </right>
      <top style="thin">
        <color theme="6" tint="-0.24994659260841701"/>
      </top>
      <bottom style="medium">
        <color theme="0"/>
      </bottom>
      <diagonal/>
    </border>
    <border>
      <left style="medium">
        <color theme="0"/>
      </left>
      <right style="thin">
        <color theme="6" tint="-0.24994659260841701"/>
      </right>
      <top style="medium">
        <color theme="0"/>
      </top>
      <bottom style="medium">
        <color theme="0"/>
      </bottom>
      <diagonal/>
    </border>
    <border>
      <left style="thin">
        <color theme="6" tint="-0.2499465926084170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9" fillId="0" borderId="0" applyFont="0" applyFill="0" applyBorder="0" applyAlignment="0" applyProtection="0"/>
  </cellStyleXfs>
  <cellXfs count="532">
    <xf numFmtId="0" fontId="0" fillId="0" borderId="0" xfId="0"/>
    <xf numFmtId="0" fontId="3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2" borderId="1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 wrapText="1"/>
    </xf>
    <xf numFmtId="165" fontId="4" fillId="2" borderId="1" xfId="1" applyNumberFormat="1" applyFont="1" applyFill="1" applyBorder="1" applyAlignment="1">
      <alignment horizontal="center" vertical="center" wrapText="1"/>
    </xf>
    <xf numFmtId="166" fontId="4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4" borderId="0" xfId="0" applyFill="1"/>
    <xf numFmtId="0" fontId="11" fillId="0" borderId="0" xfId="0" applyFont="1"/>
    <xf numFmtId="0" fontId="10" fillId="0" borderId="1" xfId="0" applyFont="1" applyBorder="1" applyAlignment="1">
      <alignment horizontal="center" vertical="center" wrapText="1"/>
    </xf>
    <xf numFmtId="0" fontId="4" fillId="2" borderId="0" xfId="0" quotePrefix="1" applyFont="1" applyFill="1" applyAlignment="1">
      <alignment horizontal="center" vertical="center" wrapText="1"/>
    </xf>
    <xf numFmtId="0" fontId="12" fillId="0" borderId="0" xfId="0" applyFont="1"/>
    <xf numFmtId="165" fontId="13" fillId="2" borderId="1" xfId="1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165" fontId="13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3" borderId="10" xfId="0" applyFont="1" applyFill="1" applyBorder="1" applyAlignment="1">
      <alignment vertical="center" wrapText="1"/>
    </xf>
    <xf numFmtId="0" fontId="1" fillId="6" borderId="2" xfId="0" applyFont="1" applyFill="1" applyBorder="1" applyAlignment="1">
      <alignment horizontal="center"/>
    </xf>
    <xf numFmtId="0" fontId="0" fillId="5" borderId="1" xfId="0" quotePrefix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0" fontId="17" fillId="6" borderId="2" xfId="0" applyFont="1" applyFill="1" applyBorder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6" xfId="0" applyBorder="1" applyAlignment="1">
      <alignment horizontal="center"/>
    </xf>
    <xf numFmtId="0" fontId="21" fillId="0" borderId="17" xfId="0" applyFont="1" applyBorder="1" applyAlignment="1">
      <alignment horizontal="center" vertical="center" wrapText="1"/>
    </xf>
    <xf numFmtId="0" fontId="23" fillId="8" borderId="17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2" fontId="4" fillId="2" borderId="1" xfId="0" applyNumberFormat="1" applyFont="1" applyFill="1" applyBorder="1" applyAlignment="1">
      <alignment vertical="center" wrapText="1"/>
    </xf>
    <xf numFmtId="166" fontId="4" fillId="2" borderId="1" xfId="0" applyNumberFormat="1" applyFont="1" applyFill="1" applyBorder="1" applyAlignment="1">
      <alignment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67" fontId="4" fillId="2" borderId="1" xfId="1" applyNumberFormat="1" applyFont="1" applyFill="1" applyBorder="1" applyAlignment="1">
      <alignment vertical="center" wrapText="1"/>
    </xf>
    <xf numFmtId="2" fontId="13" fillId="2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165" fontId="13" fillId="0" borderId="1" xfId="1" applyNumberFormat="1" applyFont="1" applyFill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 wrapText="1"/>
    </xf>
    <xf numFmtId="165" fontId="13" fillId="0" borderId="1" xfId="0" applyNumberFormat="1" applyFont="1" applyBorder="1" applyAlignment="1">
      <alignment horizontal="center" vertical="center" wrapText="1"/>
    </xf>
    <xf numFmtId="0" fontId="5" fillId="2" borderId="1" xfId="0" quotePrefix="1" applyFont="1" applyFill="1" applyBorder="1" applyAlignment="1">
      <alignment horizontal="center" vertical="center" wrapText="1"/>
    </xf>
    <xf numFmtId="166" fontId="5" fillId="2" borderId="1" xfId="0" applyNumberFormat="1" applyFont="1" applyFill="1" applyBorder="1" applyAlignment="1">
      <alignment horizontal="center" vertical="center" wrapText="1"/>
    </xf>
    <xf numFmtId="166" fontId="10" fillId="2" borderId="1" xfId="0" applyNumberFormat="1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left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1" xfId="0" quotePrefix="1" applyFont="1" applyFill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165" fontId="10" fillId="2" borderId="9" xfId="1" applyNumberFormat="1" applyFont="1" applyFill="1" applyBorder="1" applyAlignment="1">
      <alignment vertical="center" wrapText="1"/>
    </xf>
    <xf numFmtId="165" fontId="4" fillId="2" borderId="9" xfId="1" applyNumberFormat="1" applyFont="1" applyFill="1" applyBorder="1" applyAlignment="1">
      <alignment vertical="center" wrapText="1"/>
    </xf>
    <xf numFmtId="1" fontId="4" fillId="2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6" fillId="0" borderId="0" xfId="0" applyFont="1"/>
    <xf numFmtId="0" fontId="26" fillId="0" borderId="0" xfId="0" applyFont="1" applyAlignment="1">
      <alignment horizontal="center" vertical="center" wrapText="1"/>
    </xf>
    <xf numFmtId="0" fontId="27" fillId="6" borderId="2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27" fillId="6" borderId="2" xfId="0" applyFont="1" applyFill="1" applyBorder="1" applyAlignment="1">
      <alignment horizontal="center"/>
    </xf>
    <xf numFmtId="0" fontId="28" fillId="5" borderId="1" xfId="0" quotePrefix="1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27" fillId="6" borderId="2" xfId="0" applyFont="1" applyFill="1" applyBorder="1" applyAlignment="1">
      <alignment horizontal="center" vertical="center"/>
    </xf>
    <xf numFmtId="0" fontId="30" fillId="9" borderId="19" xfId="0" applyFont="1" applyFill="1" applyBorder="1" applyAlignment="1">
      <alignment horizontal="center" vertical="center" wrapText="1"/>
    </xf>
    <xf numFmtId="0" fontId="30" fillId="9" borderId="20" xfId="0" applyFont="1" applyFill="1" applyBorder="1" applyAlignment="1">
      <alignment horizontal="center" vertical="center" wrapText="1"/>
    </xf>
    <xf numFmtId="0" fontId="30" fillId="9" borderId="10" xfId="0" applyFont="1" applyFill="1" applyBorder="1" applyAlignment="1">
      <alignment horizontal="center" vertical="center" wrapText="1"/>
    </xf>
    <xf numFmtId="0" fontId="24" fillId="10" borderId="9" xfId="0" applyFont="1" applyFill="1" applyBorder="1" applyAlignment="1">
      <alignment horizontal="center" vertical="center" wrapText="1"/>
    </xf>
    <xf numFmtId="165" fontId="10" fillId="10" borderId="9" xfId="1" applyNumberFormat="1" applyFont="1" applyFill="1" applyBorder="1" applyAlignment="1">
      <alignment vertical="center" wrapText="1"/>
    </xf>
    <xf numFmtId="165" fontId="4" fillId="10" borderId="9" xfId="1" applyNumberFormat="1" applyFont="1" applyFill="1" applyBorder="1" applyAlignment="1">
      <alignment vertical="center" wrapText="1"/>
    </xf>
    <xf numFmtId="1" fontId="4" fillId="10" borderId="9" xfId="0" applyNumberFormat="1" applyFont="1" applyFill="1" applyBorder="1" applyAlignment="1">
      <alignment horizontal="center" vertical="center" wrapText="1"/>
    </xf>
    <xf numFmtId="0" fontId="24" fillId="10" borderId="1" xfId="0" applyFont="1" applyFill="1" applyBorder="1" applyAlignment="1">
      <alignment horizontal="center" vertical="center" wrapText="1"/>
    </xf>
    <xf numFmtId="0" fontId="24" fillId="10" borderId="1" xfId="0" quotePrefix="1" applyFont="1" applyFill="1" applyBorder="1" applyAlignment="1">
      <alignment horizontal="center" vertical="center" wrapText="1"/>
    </xf>
    <xf numFmtId="166" fontId="4" fillId="10" borderId="1" xfId="0" applyNumberFormat="1" applyFont="1" applyFill="1" applyBorder="1" applyAlignment="1">
      <alignment vertical="center" wrapText="1"/>
    </xf>
    <xf numFmtId="166" fontId="4" fillId="10" borderId="1" xfId="0" applyNumberFormat="1" applyFont="1" applyFill="1" applyBorder="1" applyAlignment="1">
      <alignment horizontal="center" vertical="center" wrapText="1"/>
    </xf>
    <xf numFmtId="165" fontId="4" fillId="10" borderId="1" xfId="1" applyNumberFormat="1" applyFont="1" applyFill="1" applyBorder="1" applyAlignment="1">
      <alignment vertical="center" wrapText="1"/>
    </xf>
    <xf numFmtId="1" fontId="4" fillId="10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166" fontId="5" fillId="10" borderId="1" xfId="0" applyNumberFormat="1" applyFont="1" applyFill="1" applyBorder="1" applyAlignment="1">
      <alignment horizontal="center" vertical="center" wrapText="1"/>
    </xf>
    <xf numFmtId="166" fontId="10" fillId="10" borderId="1" xfId="0" applyNumberFormat="1" applyFont="1" applyFill="1" applyBorder="1" applyAlignment="1">
      <alignment horizontal="center" vertical="center" wrapText="1"/>
    </xf>
    <xf numFmtId="0" fontId="4" fillId="10" borderId="1" xfId="0" quotePrefix="1" applyFont="1" applyFill="1" applyBorder="1" applyAlignment="1">
      <alignment horizontal="center" vertical="center" wrapText="1"/>
    </xf>
    <xf numFmtId="1" fontId="5" fillId="10" borderId="1" xfId="0" applyNumberFormat="1" applyFont="1" applyFill="1" applyBorder="1" applyAlignment="1">
      <alignment horizontal="center" vertical="center" wrapText="1"/>
    </xf>
    <xf numFmtId="0" fontId="6" fillId="11" borderId="19" xfId="0" applyFont="1" applyFill="1" applyBorder="1" applyAlignment="1">
      <alignment horizontal="center" vertical="center" wrapText="1"/>
    </xf>
    <xf numFmtId="0" fontId="6" fillId="11" borderId="20" xfId="0" applyFont="1" applyFill="1" applyBorder="1" applyAlignment="1">
      <alignment horizontal="center" vertical="center" wrapText="1"/>
    </xf>
    <xf numFmtId="0" fontId="6" fillId="11" borderId="10" xfId="0" applyFont="1" applyFill="1" applyBorder="1" applyAlignment="1">
      <alignment horizontal="center" vertical="center" wrapText="1"/>
    </xf>
    <xf numFmtId="0" fontId="24" fillId="12" borderId="9" xfId="0" applyFont="1" applyFill="1" applyBorder="1" applyAlignment="1">
      <alignment horizontal="center" vertical="center" wrapText="1"/>
    </xf>
    <xf numFmtId="165" fontId="10" fillId="12" borderId="9" xfId="1" applyNumberFormat="1" applyFont="1" applyFill="1" applyBorder="1" applyAlignment="1">
      <alignment vertical="center" wrapText="1"/>
    </xf>
    <xf numFmtId="165" fontId="4" fillId="12" borderId="9" xfId="1" applyNumberFormat="1" applyFont="1" applyFill="1" applyBorder="1" applyAlignment="1">
      <alignment vertical="center" wrapText="1"/>
    </xf>
    <xf numFmtId="1" fontId="4" fillId="12" borderId="9" xfId="0" applyNumberFormat="1" applyFont="1" applyFill="1" applyBorder="1" applyAlignment="1">
      <alignment horizontal="center" vertical="center" wrapText="1"/>
    </xf>
    <xf numFmtId="0" fontId="24" fillId="12" borderId="1" xfId="0" applyFont="1" applyFill="1" applyBorder="1" applyAlignment="1">
      <alignment horizontal="center" vertical="center" wrapText="1"/>
    </xf>
    <xf numFmtId="0" fontId="24" fillId="12" borderId="1" xfId="0" quotePrefix="1" applyFont="1" applyFill="1" applyBorder="1" applyAlignment="1">
      <alignment horizontal="center" vertical="center" wrapText="1"/>
    </xf>
    <xf numFmtId="166" fontId="4" fillId="12" borderId="1" xfId="0" applyNumberFormat="1" applyFont="1" applyFill="1" applyBorder="1" applyAlignment="1">
      <alignment vertical="center" wrapText="1"/>
    </xf>
    <xf numFmtId="166" fontId="4" fillId="12" borderId="1" xfId="0" applyNumberFormat="1" applyFont="1" applyFill="1" applyBorder="1" applyAlignment="1">
      <alignment horizontal="center" vertical="center" wrapText="1"/>
    </xf>
    <xf numFmtId="165" fontId="4" fillId="12" borderId="1" xfId="1" applyNumberFormat="1" applyFont="1" applyFill="1" applyBorder="1" applyAlignment="1">
      <alignment vertical="center" wrapText="1"/>
    </xf>
    <xf numFmtId="1" fontId="4" fillId="12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166" fontId="5" fillId="12" borderId="1" xfId="0" applyNumberFormat="1" applyFont="1" applyFill="1" applyBorder="1" applyAlignment="1">
      <alignment horizontal="center" vertical="center" wrapText="1"/>
    </xf>
    <xf numFmtId="166" fontId="10" fillId="12" borderId="1" xfId="0" applyNumberFormat="1" applyFont="1" applyFill="1" applyBorder="1" applyAlignment="1">
      <alignment horizontal="center" vertical="center" wrapText="1"/>
    </xf>
    <xf numFmtId="0" fontId="4" fillId="12" borderId="1" xfId="0" quotePrefix="1" applyFont="1" applyFill="1" applyBorder="1" applyAlignment="1">
      <alignment horizontal="center" vertical="center" wrapText="1"/>
    </xf>
    <xf numFmtId="1" fontId="5" fillId="12" borderId="1" xfId="0" applyNumberFormat="1" applyFont="1" applyFill="1" applyBorder="1" applyAlignment="1">
      <alignment horizontal="center" vertical="center" wrapText="1"/>
    </xf>
    <xf numFmtId="165" fontId="31" fillId="12" borderId="9" xfId="1" applyNumberFormat="1" applyFont="1" applyFill="1" applyBorder="1" applyAlignment="1">
      <alignment vertical="center" wrapText="1"/>
    </xf>
    <xf numFmtId="166" fontId="31" fillId="12" borderId="1" xfId="0" applyNumberFormat="1" applyFont="1" applyFill="1" applyBorder="1" applyAlignment="1">
      <alignment horizontal="center" vertical="center" wrapText="1"/>
    </xf>
    <xf numFmtId="0" fontId="33" fillId="13" borderId="19" xfId="0" applyFont="1" applyFill="1" applyBorder="1" applyAlignment="1">
      <alignment horizontal="center" vertical="center" wrapText="1"/>
    </xf>
    <xf numFmtId="0" fontId="33" fillId="13" borderId="20" xfId="0" applyFont="1" applyFill="1" applyBorder="1" applyAlignment="1">
      <alignment horizontal="center" vertical="center" wrapText="1"/>
    </xf>
    <xf numFmtId="0" fontId="33" fillId="13" borderId="10" xfId="0" applyFont="1" applyFill="1" applyBorder="1" applyAlignment="1">
      <alignment horizontal="center" vertical="center" wrapText="1"/>
    </xf>
    <xf numFmtId="0" fontId="24" fillId="15" borderId="9" xfId="0" applyFont="1" applyFill="1" applyBorder="1" applyAlignment="1">
      <alignment horizontal="center" vertical="center" wrapText="1"/>
    </xf>
    <xf numFmtId="165" fontId="10" fillId="15" borderId="9" xfId="1" applyNumberFormat="1" applyFont="1" applyFill="1" applyBorder="1" applyAlignment="1">
      <alignment vertical="center" wrapText="1"/>
    </xf>
    <xf numFmtId="165" fontId="4" fillId="15" borderId="9" xfId="1" applyNumberFormat="1" applyFont="1" applyFill="1" applyBorder="1" applyAlignment="1">
      <alignment vertical="center" wrapText="1"/>
    </xf>
    <xf numFmtId="165" fontId="31" fillId="15" borderId="9" xfId="1" applyNumberFormat="1" applyFont="1" applyFill="1" applyBorder="1" applyAlignment="1">
      <alignment vertical="center" wrapText="1"/>
    </xf>
    <xf numFmtId="1" fontId="4" fillId="15" borderId="9" xfId="0" applyNumberFormat="1" applyFont="1" applyFill="1" applyBorder="1" applyAlignment="1">
      <alignment horizontal="center" vertical="center" wrapText="1"/>
    </xf>
    <xf numFmtId="0" fontId="24" fillId="15" borderId="1" xfId="0" applyFont="1" applyFill="1" applyBorder="1" applyAlignment="1">
      <alignment horizontal="center" vertical="center" wrapText="1"/>
    </xf>
    <xf numFmtId="0" fontId="24" fillId="15" borderId="1" xfId="0" quotePrefix="1" applyFont="1" applyFill="1" applyBorder="1" applyAlignment="1">
      <alignment horizontal="center" vertical="center" wrapText="1"/>
    </xf>
    <xf numFmtId="166" fontId="4" fillId="15" borderId="1" xfId="0" applyNumberFormat="1" applyFont="1" applyFill="1" applyBorder="1" applyAlignment="1">
      <alignment vertical="center" wrapText="1"/>
    </xf>
    <xf numFmtId="166" fontId="4" fillId="15" borderId="1" xfId="0" applyNumberFormat="1" applyFont="1" applyFill="1" applyBorder="1" applyAlignment="1">
      <alignment horizontal="center" vertical="center" wrapText="1"/>
    </xf>
    <xf numFmtId="165" fontId="4" fillId="15" borderId="1" xfId="1" applyNumberFormat="1" applyFont="1" applyFill="1" applyBorder="1" applyAlignment="1">
      <alignment vertical="center" wrapText="1"/>
    </xf>
    <xf numFmtId="1" fontId="4" fillId="15" borderId="1" xfId="0" applyNumberFormat="1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166" fontId="5" fillId="15" borderId="1" xfId="0" applyNumberFormat="1" applyFont="1" applyFill="1" applyBorder="1" applyAlignment="1">
      <alignment horizontal="center" vertical="center" wrapText="1"/>
    </xf>
    <xf numFmtId="166" fontId="10" fillId="15" borderId="1" xfId="0" applyNumberFormat="1" applyFont="1" applyFill="1" applyBorder="1" applyAlignment="1">
      <alignment horizontal="center" vertical="center" wrapText="1"/>
    </xf>
    <xf numFmtId="166" fontId="31" fillId="15" borderId="1" xfId="0" applyNumberFormat="1" applyFont="1" applyFill="1" applyBorder="1" applyAlignment="1">
      <alignment horizontal="center" vertical="center" wrapText="1"/>
    </xf>
    <xf numFmtId="0" fontId="4" fillId="15" borderId="1" xfId="0" quotePrefix="1" applyFont="1" applyFill="1" applyBorder="1" applyAlignment="1">
      <alignment horizontal="center" vertical="center" wrapText="1"/>
    </xf>
    <xf numFmtId="1" fontId="5" fillId="15" borderId="1" xfId="0" applyNumberFormat="1" applyFont="1" applyFill="1" applyBorder="1" applyAlignment="1">
      <alignment horizontal="center" vertical="center" wrapText="1"/>
    </xf>
    <xf numFmtId="0" fontId="34" fillId="0" borderId="0" xfId="0" applyFont="1"/>
    <xf numFmtId="0" fontId="34" fillId="0" borderId="0" xfId="0" applyFont="1" applyAlignment="1">
      <alignment horizontal="center"/>
    </xf>
    <xf numFmtId="0" fontId="0" fillId="12" borderId="0" xfId="0" applyFill="1" applyAlignment="1">
      <alignment horizontal="center"/>
    </xf>
    <xf numFmtId="0" fontId="0" fillId="12" borderId="0" xfId="0" applyFill="1"/>
    <xf numFmtId="0" fontId="4" fillId="0" borderId="0" xfId="0" applyFont="1" applyAlignment="1">
      <alignment horizontal="left" vertical="center" wrapText="1"/>
    </xf>
    <xf numFmtId="2" fontId="10" fillId="15" borderId="1" xfId="0" applyNumberFormat="1" applyFont="1" applyFill="1" applyBorder="1" applyAlignment="1">
      <alignment horizontal="center" vertical="center" wrapText="1"/>
    </xf>
    <xf numFmtId="2" fontId="31" fillId="15" borderId="1" xfId="0" applyNumberFormat="1" applyFont="1" applyFill="1" applyBorder="1" applyAlignment="1">
      <alignment horizontal="center" vertical="center" wrapText="1"/>
    </xf>
    <xf numFmtId="168" fontId="10" fillId="15" borderId="1" xfId="0" applyNumberFormat="1" applyFont="1" applyFill="1" applyBorder="1" applyAlignment="1">
      <alignment horizontal="center" vertical="center" wrapText="1"/>
    </xf>
    <xf numFmtId="168" fontId="5" fillId="15" borderId="1" xfId="0" applyNumberFormat="1" applyFont="1" applyFill="1" applyBorder="1" applyAlignment="1">
      <alignment horizontal="center" vertical="center" wrapText="1"/>
    </xf>
    <xf numFmtId="168" fontId="31" fillId="15" borderId="1" xfId="0" applyNumberFormat="1" applyFont="1" applyFill="1" applyBorder="1" applyAlignment="1">
      <alignment horizontal="center" vertical="center" wrapText="1"/>
    </xf>
    <xf numFmtId="166" fontId="5" fillId="15" borderId="12" xfId="0" applyNumberFormat="1" applyFont="1" applyFill="1" applyBorder="1" applyAlignment="1">
      <alignment horizontal="center" vertical="center" wrapText="1"/>
    </xf>
    <xf numFmtId="3" fontId="0" fillId="0" borderId="0" xfId="0" applyNumberFormat="1"/>
    <xf numFmtId="0" fontId="29" fillId="17" borderId="21" xfId="0" applyFont="1" applyFill="1" applyBorder="1" applyAlignment="1">
      <alignment horizontal="center" vertical="center"/>
    </xf>
    <xf numFmtId="0" fontId="29" fillId="17" borderId="22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16" borderId="25" xfId="0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" fontId="0" fillId="4" borderId="27" xfId="0" applyNumberFormat="1" applyFill="1" applyBorder="1" applyAlignment="1">
      <alignment horizontal="center" vertical="center"/>
    </xf>
    <xf numFmtId="1" fontId="0" fillId="0" borderId="30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0" fillId="0" borderId="27" xfId="0" applyNumberFormat="1" applyBorder="1" applyAlignment="1">
      <alignment horizontal="center" vertical="center"/>
    </xf>
    <xf numFmtId="1" fontId="0" fillId="0" borderId="25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1" fontId="0" fillId="0" borderId="26" xfId="0" applyNumberFormat="1" applyBorder="1" applyAlignment="1">
      <alignment horizontal="center" vertical="center"/>
    </xf>
    <xf numFmtId="1" fontId="0" fillId="16" borderId="29" xfId="0" applyNumberFormat="1" applyFill="1" applyBorder="1" applyAlignment="1">
      <alignment horizontal="center" vertical="center"/>
    </xf>
    <xf numFmtId="166" fontId="0" fillId="0" borderId="30" xfId="0" applyNumberFormat="1" applyBorder="1" applyAlignment="1">
      <alignment horizontal="center" vertical="center"/>
    </xf>
    <xf numFmtId="166" fontId="0" fillId="0" borderId="29" xfId="0" applyNumberFormat="1" applyBorder="1" applyAlignment="1">
      <alignment horizontal="center" vertical="center"/>
    </xf>
    <xf numFmtId="166" fontId="0" fillId="0" borderId="27" xfId="0" applyNumberFormat="1" applyBorder="1" applyAlignment="1">
      <alignment horizontal="center" vertical="center"/>
    </xf>
    <xf numFmtId="166" fontId="0" fillId="0" borderId="25" xfId="0" applyNumberFormat="1" applyBorder="1" applyAlignment="1">
      <alignment horizontal="center" vertical="center"/>
    </xf>
    <xf numFmtId="166" fontId="0" fillId="0" borderId="28" xfId="0" applyNumberFormat="1" applyBorder="1" applyAlignment="1">
      <alignment horizontal="center" vertical="center"/>
    </xf>
    <xf numFmtId="166" fontId="0" fillId="0" borderId="26" xfId="0" applyNumberFormat="1" applyBorder="1" applyAlignment="1">
      <alignment horizontal="center" vertical="center"/>
    </xf>
    <xf numFmtId="166" fontId="0" fillId="16" borderId="25" xfId="0" applyNumberFormat="1" applyFill="1" applyBorder="1" applyAlignment="1">
      <alignment horizontal="center" vertical="center"/>
    </xf>
    <xf numFmtId="166" fontId="0" fillId="4" borderId="25" xfId="0" applyNumberFormat="1" applyFill="1" applyBorder="1" applyAlignment="1">
      <alignment horizontal="center" vertical="center"/>
    </xf>
    <xf numFmtId="166" fontId="0" fillId="16" borderId="27" xfId="0" applyNumberFormat="1" applyFill="1" applyBorder="1" applyAlignment="1">
      <alignment horizontal="center" vertical="center"/>
    </xf>
    <xf numFmtId="2" fontId="0" fillId="0" borderId="30" xfId="0" applyNumberFormat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2" fontId="0" fillId="0" borderId="27" xfId="0" applyNumberForma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2" fontId="0" fillId="16" borderId="28" xfId="0" applyNumberFormat="1" applyFill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0" fillId="4" borderId="25" xfId="0" applyNumberFormat="1" applyFill="1" applyBorder="1" applyAlignment="1">
      <alignment horizontal="center" vertical="center"/>
    </xf>
    <xf numFmtId="2" fontId="0" fillId="0" borderId="29" xfId="0" quotePrefix="1" applyNumberFormat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168" fontId="0" fillId="0" borderId="25" xfId="0" applyNumberFormat="1" applyBorder="1" applyAlignment="1">
      <alignment horizontal="center" vertical="center"/>
    </xf>
    <xf numFmtId="168" fontId="0" fillId="4" borderId="25" xfId="0" applyNumberFormat="1" applyFill="1" applyBorder="1" applyAlignment="1">
      <alignment horizontal="center" vertical="center"/>
    </xf>
    <xf numFmtId="168" fontId="0" fillId="0" borderId="30" xfId="0" applyNumberFormat="1" applyBorder="1" applyAlignment="1">
      <alignment horizontal="center" vertical="center"/>
    </xf>
    <xf numFmtId="168" fontId="0" fillId="0" borderId="29" xfId="0" applyNumberFormat="1" applyBorder="1" applyAlignment="1">
      <alignment horizontal="center" vertical="center"/>
    </xf>
    <xf numFmtId="168" fontId="0" fillId="0" borderId="27" xfId="0" applyNumberFormat="1" applyBorder="1" applyAlignment="1">
      <alignment horizontal="center" vertical="center"/>
    </xf>
    <xf numFmtId="168" fontId="0" fillId="0" borderId="28" xfId="0" applyNumberFormat="1" applyBorder="1" applyAlignment="1">
      <alignment horizontal="center" vertical="center"/>
    </xf>
    <xf numFmtId="168" fontId="0" fillId="0" borderId="26" xfId="0" applyNumberFormat="1" applyBorder="1" applyAlignment="1">
      <alignment horizontal="center" vertical="center"/>
    </xf>
    <xf numFmtId="166" fontId="0" fillId="0" borderId="29" xfId="0" quotePrefix="1" applyNumberFormat="1" applyBorder="1" applyAlignment="1">
      <alignment horizontal="center" vertical="center"/>
    </xf>
    <xf numFmtId="166" fontId="0" fillId="4" borderId="29" xfId="0" applyNumberFormat="1" applyFill="1" applyBorder="1" applyAlignment="1">
      <alignment horizontal="center" vertical="center"/>
    </xf>
    <xf numFmtId="166" fontId="0" fillId="4" borderId="27" xfId="0" applyNumberFormat="1" applyFill="1" applyBorder="1" applyAlignment="1">
      <alignment horizontal="center" vertical="center"/>
    </xf>
    <xf numFmtId="166" fontId="0" fillId="4" borderId="26" xfId="0" applyNumberFormat="1" applyFill="1" applyBorder="1" applyAlignment="1">
      <alignment horizontal="center" vertical="center"/>
    </xf>
    <xf numFmtId="168" fontId="0" fillId="16" borderId="25" xfId="0" applyNumberFormat="1" applyFill="1" applyBorder="1" applyAlignment="1">
      <alignment horizontal="center" vertical="center"/>
    </xf>
    <xf numFmtId="168" fontId="0" fillId="4" borderId="27" xfId="0" applyNumberFormat="1" applyFill="1" applyBorder="1" applyAlignment="1">
      <alignment horizontal="center" vertical="center"/>
    </xf>
    <xf numFmtId="168" fontId="0" fillId="16" borderId="27" xfId="0" applyNumberFormat="1" applyFill="1" applyBorder="1" applyAlignment="1">
      <alignment horizontal="center" vertical="center"/>
    </xf>
    <xf numFmtId="166" fontId="0" fillId="16" borderId="29" xfId="0" applyNumberFormat="1" applyFill="1" applyBorder="1" applyAlignment="1">
      <alignment horizontal="center" vertical="center"/>
    </xf>
    <xf numFmtId="166" fontId="34" fillId="16" borderId="29" xfId="0" applyNumberFormat="1" applyFont="1" applyFill="1" applyBorder="1" applyAlignment="1">
      <alignment horizontal="center" vertical="center"/>
    </xf>
    <xf numFmtId="2" fontId="4" fillId="15" borderId="1" xfId="0" applyNumberFormat="1" applyFont="1" applyFill="1" applyBorder="1" applyAlignment="1">
      <alignment vertical="center" wrapText="1"/>
    </xf>
    <xf numFmtId="2" fontId="4" fillId="15" borderId="1" xfId="0" applyNumberFormat="1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left" vertical="center" wrapText="1"/>
    </xf>
    <xf numFmtId="1" fontId="10" fillId="15" borderId="1" xfId="0" applyNumberFormat="1" applyFont="1" applyFill="1" applyBorder="1" applyAlignment="1">
      <alignment horizontal="center" vertical="center" wrapText="1"/>
    </xf>
    <xf numFmtId="1" fontId="31" fillId="15" borderId="1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4" borderId="37" xfId="0" applyFont="1" applyFill="1" applyBorder="1" applyAlignment="1">
      <alignment horizontal="center" vertical="center"/>
    </xf>
    <xf numFmtId="0" fontId="29" fillId="18" borderId="36" xfId="0" applyFont="1" applyFill="1" applyBorder="1" applyAlignment="1">
      <alignment horizontal="center" vertical="center"/>
    </xf>
    <xf numFmtId="0" fontId="29" fillId="18" borderId="42" xfId="0" applyFont="1" applyFill="1" applyBorder="1" applyAlignment="1">
      <alignment horizontal="center" vertical="center"/>
    </xf>
    <xf numFmtId="0" fontId="29" fillId="18" borderId="37" xfId="0" applyFont="1" applyFill="1" applyBorder="1" applyAlignment="1">
      <alignment horizontal="center" vertical="center"/>
    </xf>
    <xf numFmtId="0" fontId="29" fillId="18" borderId="31" xfId="0" applyFont="1" applyFill="1" applyBorder="1" applyAlignment="1">
      <alignment horizontal="center" vertical="center"/>
    </xf>
    <xf numFmtId="0" fontId="29" fillId="18" borderId="40" xfId="0" applyFont="1" applyFill="1" applyBorder="1" applyAlignment="1">
      <alignment horizontal="center" vertical="center"/>
    </xf>
    <xf numFmtId="0" fontId="29" fillId="18" borderId="49" xfId="0" applyFont="1" applyFill="1" applyBorder="1" applyAlignment="1">
      <alignment horizontal="center" vertical="center"/>
    </xf>
    <xf numFmtId="0" fontId="29" fillId="18" borderId="56" xfId="0" applyFont="1" applyFill="1" applyBorder="1" applyAlignment="1">
      <alignment horizontal="center" vertical="center"/>
    </xf>
    <xf numFmtId="0" fontId="29" fillId="18" borderId="57" xfId="0" applyFont="1" applyFill="1" applyBorder="1" applyAlignment="1">
      <alignment horizontal="center" vertical="center"/>
    </xf>
    <xf numFmtId="1" fontId="29" fillId="0" borderId="57" xfId="0" applyNumberFormat="1" applyFont="1" applyBorder="1" applyAlignment="1">
      <alignment horizontal="center" vertical="center"/>
    </xf>
    <xf numFmtId="1" fontId="29" fillId="0" borderId="42" xfId="0" applyNumberFormat="1" applyFont="1" applyBorder="1" applyAlignment="1">
      <alignment horizontal="center" vertical="center"/>
    </xf>
    <xf numFmtId="1" fontId="29" fillId="0" borderId="37" xfId="0" applyNumberFormat="1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29" fillId="0" borderId="38" xfId="0" quotePrefix="1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29" fillId="16" borderId="46" xfId="0" applyFont="1" applyFill="1" applyBorder="1" applyAlignment="1">
      <alignment horizontal="center" vertical="center"/>
    </xf>
    <xf numFmtId="0" fontId="29" fillId="0" borderId="39" xfId="0" applyFont="1" applyBorder="1" applyAlignment="1">
      <alignment horizontal="center" vertical="center"/>
    </xf>
    <xf numFmtId="0" fontId="29" fillId="0" borderId="43" xfId="0" quotePrefix="1" applyFont="1" applyBorder="1" applyAlignment="1">
      <alignment horizontal="center" vertical="center"/>
    </xf>
    <xf numFmtId="0" fontId="29" fillId="0" borderId="44" xfId="0" applyFont="1" applyBorder="1" applyAlignment="1">
      <alignment horizontal="center" vertical="center"/>
    </xf>
    <xf numFmtId="0" fontId="29" fillId="0" borderId="40" xfId="0" quotePrefix="1" applyFont="1" applyBorder="1" applyAlignment="1">
      <alignment horizontal="center" vertical="center"/>
    </xf>
    <xf numFmtId="0" fontId="29" fillId="0" borderId="47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0" fontId="29" fillId="4" borderId="47" xfId="0" applyFont="1" applyFill="1" applyBorder="1" applyAlignment="1">
      <alignment horizontal="center" vertical="center"/>
    </xf>
    <xf numFmtId="0" fontId="29" fillId="18" borderId="35" xfId="0" applyFont="1" applyFill="1" applyBorder="1" applyAlignment="1">
      <alignment horizontal="center" vertical="center"/>
    </xf>
    <xf numFmtId="0" fontId="29" fillId="18" borderId="22" xfId="0" applyFont="1" applyFill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29" fillId="0" borderId="58" xfId="0" applyFont="1" applyBorder="1" applyAlignment="1">
      <alignment horizontal="center" vertical="center"/>
    </xf>
    <xf numFmtId="0" fontId="29" fillId="18" borderId="43" xfId="0" applyFont="1" applyFill="1" applyBorder="1" applyAlignment="1">
      <alignment horizontal="center" vertical="center"/>
    </xf>
    <xf numFmtId="0" fontId="29" fillId="18" borderId="44" xfId="0" applyFont="1" applyFill="1" applyBorder="1" applyAlignment="1">
      <alignment horizontal="center" vertical="center"/>
    </xf>
    <xf numFmtId="0" fontId="29" fillId="18" borderId="45" xfId="0" applyFont="1" applyFill="1" applyBorder="1" applyAlignment="1">
      <alignment horizontal="center" vertical="center"/>
    </xf>
    <xf numFmtId="0" fontId="29" fillId="0" borderId="36" xfId="0" quotePrefix="1" applyFont="1" applyBorder="1" applyAlignment="1">
      <alignment horizontal="center" vertical="center"/>
    </xf>
    <xf numFmtId="0" fontId="29" fillId="0" borderId="42" xfId="0" quotePrefix="1" applyFont="1" applyBorder="1" applyAlignment="1">
      <alignment horizontal="center" vertical="center"/>
    </xf>
    <xf numFmtId="0" fontId="29" fillId="0" borderId="37" xfId="0" quotePrefix="1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0" fontId="29" fillId="0" borderId="42" xfId="0" applyFont="1" applyBorder="1" applyAlignment="1">
      <alignment horizontal="center" vertical="center"/>
    </xf>
    <xf numFmtId="0" fontId="29" fillId="0" borderId="37" xfId="0" applyFont="1" applyBorder="1" applyAlignment="1">
      <alignment horizontal="center" vertical="center"/>
    </xf>
    <xf numFmtId="0" fontId="29" fillId="16" borderId="36" xfId="0" applyFont="1" applyFill="1" applyBorder="1" applyAlignment="1">
      <alignment horizontal="center" vertical="center"/>
    </xf>
    <xf numFmtId="168" fontId="29" fillId="0" borderId="36" xfId="0" applyNumberFormat="1" applyFont="1" applyBorder="1" applyAlignment="1">
      <alignment horizontal="center" vertical="center"/>
    </xf>
    <xf numFmtId="2" fontId="29" fillId="0" borderId="36" xfId="0" applyNumberFormat="1" applyFont="1" applyBorder="1" applyAlignment="1">
      <alignment horizontal="center" vertical="center"/>
    </xf>
    <xf numFmtId="166" fontId="29" fillId="0" borderId="36" xfId="0" applyNumberFormat="1" applyFont="1" applyBorder="1" applyAlignment="1">
      <alignment horizontal="center" vertical="center"/>
    </xf>
    <xf numFmtId="168" fontId="29" fillId="0" borderId="42" xfId="0" applyNumberFormat="1" applyFont="1" applyBorder="1" applyAlignment="1">
      <alignment horizontal="center" vertical="center"/>
    </xf>
    <xf numFmtId="2" fontId="29" fillId="0" borderId="42" xfId="0" applyNumberFormat="1" applyFont="1" applyBorder="1" applyAlignment="1">
      <alignment horizontal="center" vertical="center"/>
    </xf>
    <xf numFmtId="166" fontId="29" fillId="0" borderId="42" xfId="0" applyNumberFormat="1" applyFont="1" applyBorder="1" applyAlignment="1">
      <alignment horizontal="center" vertical="center"/>
    </xf>
    <xf numFmtId="0" fontId="29" fillId="18" borderId="51" xfId="0" applyFont="1" applyFill="1" applyBorder="1" applyAlignment="1">
      <alignment horizontal="center" vertical="center"/>
    </xf>
    <xf numFmtId="0" fontId="29" fillId="16" borderId="37" xfId="0" applyFont="1" applyFill="1" applyBorder="1" applyAlignment="1">
      <alignment horizontal="center" vertical="center"/>
    </xf>
    <xf numFmtId="0" fontId="29" fillId="0" borderId="57" xfId="0" applyFont="1" applyBorder="1" applyAlignment="1">
      <alignment horizontal="center" vertical="center"/>
    </xf>
    <xf numFmtId="0" fontId="29" fillId="0" borderId="72" xfId="0" applyFont="1" applyBorder="1" applyAlignment="1">
      <alignment horizontal="center" vertical="center"/>
    </xf>
    <xf numFmtId="0" fontId="29" fillId="0" borderId="63" xfId="0" applyFont="1" applyBorder="1" applyAlignment="1">
      <alignment horizontal="center" vertical="center"/>
    </xf>
    <xf numFmtId="0" fontId="29" fillId="18" borderId="69" xfId="0" applyFont="1" applyFill="1" applyBorder="1" applyAlignment="1">
      <alignment horizontal="center" vertical="center"/>
    </xf>
    <xf numFmtId="0" fontId="29" fillId="0" borderId="73" xfId="0" applyFont="1" applyBorder="1" applyAlignment="1">
      <alignment horizontal="center" vertical="center"/>
    </xf>
    <xf numFmtId="0" fontId="29" fillId="0" borderId="67" xfId="0" applyFont="1" applyBorder="1" applyAlignment="1">
      <alignment horizontal="center" vertical="center"/>
    </xf>
    <xf numFmtId="0" fontId="29" fillId="18" borderId="52" xfId="0" applyFont="1" applyFill="1" applyBorder="1" applyAlignment="1">
      <alignment horizontal="center" vertical="center"/>
    </xf>
    <xf numFmtId="1" fontId="29" fillId="16" borderId="42" xfId="0" applyNumberFormat="1" applyFont="1" applyFill="1" applyBorder="1" applyAlignment="1">
      <alignment horizontal="center" vertical="center"/>
    </xf>
    <xf numFmtId="1" fontId="29" fillId="4" borderId="42" xfId="0" applyNumberFormat="1" applyFont="1" applyFill="1" applyBorder="1" applyAlignment="1">
      <alignment horizontal="center" vertical="center"/>
    </xf>
    <xf numFmtId="0" fontId="29" fillId="18" borderId="50" xfId="0" applyFont="1" applyFill="1" applyBorder="1" applyAlignment="1">
      <alignment horizontal="center" vertical="center"/>
    </xf>
    <xf numFmtId="0" fontId="29" fillId="18" borderId="54" xfId="0" applyFont="1" applyFill="1" applyBorder="1" applyAlignment="1">
      <alignment horizontal="center" vertical="center"/>
    </xf>
    <xf numFmtId="0" fontId="29" fillId="18" borderId="55" xfId="0" applyFont="1" applyFill="1" applyBorder="1" applyAlignment="1">
      <alignment horizontal="center" vertical="center"/>
    </xf>
    <xf numFmtId="0" fontId="29" fillId="18" borderId="59" xfId="0" applyFont="1" applyFill="1" applyBorder="1" applyAlignment="1">
      <alignment horizontal="center" vertical="center"/>
    </xf>
    <xf numFmtId="166" fontId="29" fillId="0" borderId="37" xfId="0" applyNumberFormat="1" applyFont="1" applyBorder="1" applyAlignment="1">
      <alignment horizontal="center" vertical="center"/>
    </xf>
    <xf numFmtId="166" fontId="29" fillId="4" borderId="42" xfId="0" applyNumberFormat="1" applyFont="1" applyFill="1" applyBorder="1" applyAlignment="1">
      <alignment horizontal="center" vertical="center"/>
    </xf>
    <xf numFmtId="166" fontId="29" fillId="16" borderId="42" xfId="0" applyNumberFormat="1" applyFont="1" applyFill="1" applyBorder="1" applyAlignment="1">
      <alignment horizontal="center" vertical="center"/>
    </xf>
    <xf numFmtId="166" fontId="29" fillId="0" borderId="21" xfId="0" applyNumberFormat="1" applyFont="1" applyBorder="1" applyAlignment="1">
      <alignment horizontal="center" vertical="center"/>
    </xf>
    <xf numFmtId="166" fontId="29" fillId="4" borderId="21" xfId="0" applyNumberFormat="1" applyFont="1" applyFill="1" applyBorder="1" applyAlignment="1">
      <alignment horizontal="center" vertical="center"/>
    </xf>
    <xf numFmtId="166" fontId="29" fillId="0" borderId="47" xfId="0" applyNumberFormat="1" applyFont="1" applyBorder="1" applyAlignment="1">
      <alignment horizontal="center" vertical="center"/>
    </xf>
    <xf numFmtId="0" fontId="29" fillId="18" borderId="72" xfId="0" applyFont="1" applyFill="1" applyBorder="1" applyAlignment="1">
      <alignment horizontal="center" vertical="center"/>
    </xf>
    <xf numFmtId="0" fontId="29" fillId="18" borderId="63" xfId="0" applyFont="1" applyFill="1" applyBorder="1" applyAlignment="1">
      <alignment horizontal="center" vertical="center"/>
    </xf>
    <xf numFmtId="166" fontId="29" fillId="0" borderId="53" xfId="0" applyNumberFormat="1" applyFont="1" applyBorder="1" applyAlignment="1">
      <alignment horizontal="center" vertical="center"/>
    </xf>
    <xf numFmtId="166" fontId="29" fillId="0" borderId="66" xfId="0" applyNumberFormat="1" applyFont="1" applyBorder="1" applyAlignment="1">
      <alignment horizontal="center" vertical="center"/>
    </xf>
    <xf numFmtId="166" fontId="29" fillId="0" borderId="73" xfId="0" applyNumberFormat="1" applyFont="1" applyBorder="1" applyAlignment="1">
      <alignment horizontal="center" vertical="center"/>
    </xf>
    <xf numFmtId="166" fontId="29" fillId="16" borderId="37" xfId="0" applyNumberFormat="1" applyFont="1" applyFill="1" applyBorder="1" applyAlignment="1">
      <alignment horizontal="center" vertical="center"/>
    </xf>
    <xf numFmtId="0" fontId="29" fillId="18" borderId="62" xfId="0" applyFont="1" applyFill="1" applyBorder="1" applyAlignment="1">
      <alignment horizontal="center" vertical="center"/>
    </xf>
    <xf numFmtId="166" fontId="29" fillId="0" borderId="72" xfId="0" applyNumberFormat="1" applyFont="1" applyBorder="1" applyAlignment="1">
      <alignment horizontal="center" vertical="center"/>
    </xf>
    <xf numFmtId="166" fontId="29" fillId="0" borderId="63" xfId="0" applyNumberFormat="1" applyFont="1" applyBorder="1" applyAlignment="1">
      <alignment horizontal="center" vertical="center"/>
    </xf>
    <xf numFmtId="0" fontId="29" fillId="18" borderId="65" xfId="0" applyFont="1" applyFill="1" applyBorder="1" applyAlignment="1">
      <alignment horizontal="center" vertical="center"/>
    </xf>
    <xf numFmtId="0" fontId="29" fillId="18" borderId="70" xfId="0" applyFont="1" applyFill="1" applyBorder="1" applyAlignment="1">
      <alignment horizontal="center" vertical="center"/>
    </xf>
    <xf numFmtId="166" fontId="29" fillId="0" borderId="67" xfId="0" applyNumberFormat="1" applyFont="1" applyBorder="1" applyAlignment="1">
      <alignment horizontal="center" vertical="center"/>
    </xf>
    <xf numFmtId="166" fontId="29" fillId="0" borderId="57" xfId="0" applyNumberFormat="1" applyFont="1" applyBorder="1" applyAlignment="1">
      <alignment horizontal="center" vertical="center"/>
    </xf>
    <xf numFmtId="0" fontId="29" fillId="18" borderId="74" xfId="0" applyFont="1" applyFill="1" applyBorder="1" applyAlignment="1">
      <alignment horizontal="center" vertical="center"/>
    </xf>
    <xf numFmtId="0" fontId="29" fillId="18" borderId="75" xfId="0" applyFont="1" applyFill="1" applyBorder="1" applyAlignment="1">
      <alignment horizontal="center" vertical="center"/>
    </xf>
    <xf numFmtId="2" fontId="29" fillId="0" borderId="37" xfId="0" applyNumberFormat="1" applyFont="1" applyBorder="1" applyAlignment="1">
      <alignment horizontal="center" vertical="center"/>
    </xf>
    <xf numFmtId="2" fontId="29" fillId="16" borderId="42" xfId="0" applyNumberFormat="1" applyFont="1" applyFill="1" applyBorder="1" applyAlignment="1">
      <alignment horizontal="center" vertical="center"/>
    </xf>
    <xf numFmtId="2" fontId="29" fillId="4" borderId="42" xfId="0" applyNumberFormat="1" applyFont="1" applyFill="1" applyBorder="1" applyAlignment="1">
      <alignment horizontal="center" vertical="center"/>
    </xf>
    <xf numFmtId="168" fontId="29" fillId="4" borderId="42" xfId="0" applyNumberFormat="1" applyFont="1" applyFill="1" applyBorder="1" applyAlignment="1">
      <alignment horizontal="center" vertical="center"/>
    </xf>
    <xf numFmtId="2" fontId="29" fillId="0" borderId="36" xfId="0" quotePrefix="1" applyNumberFormat="1" applyFont="1" applyBorder="1" applyAlignment="1">
      <alignment horizontal="center" vertical="center"/>
    </xf>
    <xf numFmtId="2" fontId="29" fillId="0" borderId="42" xfId="0" quotePrefix="1" applyNumberFormat="1" applyFont="1" applyBorder="1" applyAlignment="1">
      <alignment horizontal="center" vertical="center"/>
    </xf>
    <xf numFmtId="2" fontId="29" fillId="0" borderId="37" xfId="0" quotePrefix="1" applyNumberFormat="1" applyFont="1" applyBorder="1" applyAlignment="1">
      <alignment horizontal="center" vertical="center"/>
    </xf>
    <xf numFmtId="166" fontId="29" fillId="4" borderId="36" xfId="0" applyNumberFormat="1" applyFont="1" applyFill="1" applyBorder="1" applyAlignment="1">
      <alignment horizontal="center" vertical="center"/>
    </xf>
    <xf numFmtId="166" fontId="29" fillId="0" borderId="36" xfId="0" quotePrefix="1" applyNumberFormat="1" applyFont="1" applyBorder="1" applyAlignment="1">
      <alignment horizontal="center" vertical="center"/>
    </xf>
    <xf numFmtId="166" fontId="29" fillId="0" borderId="42" xfId="0" quotePrefix="1" applyNumberFormat="1" applyFont="1" applyBorder="1" applyAlignment="1">
      <alignment horizontal="center" vertical="center"/>
    </xf>
    <xf numFmtId="166" fontId="29" fillId="0" borderId="37" xfId="0" quotePrefix="1" applyNumberFormat="1" applyFont="1" applyBorder="1" applyAlignment="1">
      <alignment horizontal="center" vertical="center"/>
    </xf>
    <xf numFmtId="166" fontId="29" fillId="16" borderId="36" xfId="0" applyNumberFormat="1" applyFont="1" applyFill="1" applyBorder="1" applyAlignment="1">
      <alignment horizontal="center" vertical="center"/>
    </xf>
    <xf numFmtId="168" fontId="29" fillId="0" borderId="37" xfId="0" applyNumberFormat="1" applyFont="1" applyBorder="1" applyAlignment="1">
      <alignment horizontal="center" vertical="center"/>
    </xf>
    <xf numFmtId="168" fontId="29" fillId="16" borderId="37" xfId="0" applyNumberFormat="1" applyFont="1" applyFill="1" applyBorder="1" applyAlignment="1">
      <alignment horizontal="center" vertical="center"/>
    </xf>
    <xf numFmtId="168" fontId="29" fillId="16" borderId="42" xfId="0" applyNumberFormat="1" applyFont="1" applyFill="1" applyBorder="1" applyAlignment="1">
      <alignment horizontal="center" vertical="center"/>
    </xf>
    <xf numFmtId="166" fontId="32" fillId="16" borderId="21" xfId="0" applyNumberFormat="1" applyFont="1" applyFill="1" applyBorder="1" applyAlignment="1">
      <alignment horizontal="center" vertical="center"/>
    </xf>
    <xf numFmtId="0" fontId="36" fillId="18" borderId="36" xfId="0" applyFont="1" applyFill="1" applyBorder="1" applyAlignment="1">
      <alignment horizontal="center" vertical="center"/>
    </xf>
    <xf numFmtId="166" fontId="29" fillId="4" borderId="37" xfId="0" applyNumberFormat="1" applyFont="1" applyFill="1" applyBorder="1" applyAlignment="1">
      <alignment horizontal="center" vertical="center"/>
    </xf>
    <xf numFmtId="166" fontId="32" fillId="0" borderId="42" xfId="0" applyNumberFormat="1" applyFont="1" applyBorder="1" applyAlignment="1">
      <alignment horizontal="center" vertical="center"/>
    </xf>
    <xf numFmtId="166" fontId="32" fillId="16" borderId="42" xfId="0" applyNumberFormat="1" applyFont="1" applyFill="1" applyBorder="1" applyAlignment="1">
      <alignment horizontal="center" vertical="center"/>
    </xf>
    <xf numFmtId="166" fontId="29" fillId="0" borderId="46" xfId="0" applyNumberFormat="1" applyFont="1" applyBorder="1" applyAlignment="1">
      <alignment horizontal="center" vertical="center"/>
    </xf>
    <xf numFmtId="166" fontId="29" fillId="0" borderId="39" xfId="0" applyNumberFormat="1" applyFont="1" applyBorder="1" applyAlignment="1">
      <alignment horizontal="center" vertical="center"/>
    </xf>
    <xf numFmtId="166" fontId="29" fillId="0" borderId="44" xfId="0" applyNumberFormat="1" applyFont="1" applyBorder="1" applyAlignment="1">
      <alignment horizontal="center" vertical="center"/>
    </xf>
    <xf numFmtId="166" fontId="29" fillId="0" borderId="41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2" fontId="29" fillId="16" borderId="36" xfId="0" applyNumberFormat="1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 wrapText="1"/>
    </xf>
    <xf numFmtId="166" fontId="37" fillId="2" borderId="1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164" fontId="0" fillId="0" borderId="0" xfId="0" applyNumberFormat="1"/>
    <xf numFmtId="169" fontId="0" fillId="0" borderId="0" xfId="0" applyNumberFormat="1"/>
    <xf numFmtId="1" fontId="4" fillId="2" borderId="1" xfId="0" applyNumberFormat="1" applyFont="1" applyFill="1" applyBorder="1" applyAlignment="1">
      <alignment vertical="center" wrapText="1"/>
    </xf>
    <xf numFmtId="167" fontId="0" fillId="0" borderId="0" xfId="0" applyNumberFormat="1"/>
    <xf numFmtId="165" fontId="4" fillId="2" borderId="1" xfId="1" applyNumberFormat="1" applyFont="1" applyFill="1" applyBorder="1" applyAlignment="1">
      <alignment horizontal="left" vertical="center" wrapText="1"/>
    </xf>
    <xf numFmtId="165" fontId="37" fillId="2" borderId="1" xfId="1" applyNumberFormat="1" applyFont="1" applyFill="1" applyBorder="1" applyAlignment="1">
      <alignment vertical="center" wrapText="1"/>
    </xf>
    <xf numFmtId="0" fontId="2" fillId="19" borderId="4" xfId="0" applyFont="1" applyFill="1" applyBorder="1" applyAlignment="1">
      <alignment horizontal="center" vertical="center" wrapText="1"/>
    </xf>
    <xf numFmtId="0" fontId="2" fillId="19" borderId="2" xfId="0" applyFont="1" applyFill="1" applyBorder="1" applyAlignment="1">
      <alignment horizontal="center" vertical="center" wrapText="1"/>
    </xf>
    <xf numFmtId="0" fontId="6" fillId="19" borderId="10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5" fillId="20" borderId="1" xfId="0" applyFont="1" applyFill="1" applyBorder="1" applyAlignment="1">
      <alignment horizontal="center" vertical="center" wrapText="1"/>
    </xf>
    <xf numFmtId="165" fontId="5" fillId="20" borderId="1" xfId="1" applyNumberFormat="1" applyFont="1" applyFill="1" applyBorder="1" applyAlignment="1">
      <alignment horizontal="center" vertical="center" wrapText="1"/>
    </xf>
    <xf numFmtId="165" fontId="33" fillId="20" borderId="1" xfId="1" applyNumberFormat="1" applyFont="1" applyFill="1" applyBorder="1" applyAlignment="1">
      <alignment horizontal="center" vertical="center" wrapText="1"/>
    </xf>
    <xf numFmtId="166" fontId="5" fillId="20" borderId="1" xfId="0" applyNumberFormat="1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horizontal="center" vertical="center" wrapText="1"/>
    </xf>
    <xf numFmtId="166" fontId="37" fillId="20" borderId="1" xfId="0" applyNumberFormat="1" applyFont="1" applyFill="1" applyBorder="1" applyAlignment="1">
      <alignment horizontal="center" vertical="center" wrapText="1"/>
    </xf>
    <xf numFmtId="0" fontId="37" fillId="20" borderId="1" xfId="0" applyFont="1" applyFill="1" applyBorder="1" applyAlignment="1">
      <alignment horizontal="center" vertical="center" wrapText="1"/>
    </xf>
    <xf numFmtId="166" fontId="4" fillId="20" borderId="1" xfId="0" applyNumberFormat="1" applyFont="1" applyFill="1" applyBorder="1" applyAlignment="1">
      <alignment horizontal="center" vertical="center" wrapText="1"/>
    </xf>
    <xf numFmtId="2" fontId="5" fillId="20" borderId="1" xfId="0" applyNumberFormat="1" applyFont="1" applyFill="1" applyBorder="1" applyAlignment="1">
      <alignment horizontal="center" vertical="center" wrapText="1"/>
    </xf>
    <xf numFmtId="2" fontId="4" fillId="20" borderId="1" xfId="0" applyNumberFormat="1" applyFont="1" applyFill="1" applyBorder="1" applyAlignment="1">
      <alignment horizontal="center" vertical="center" wrapText="1"/>
    </xf>
    <xf numFmtId="1" fontId="4" fillId="20" borderId="1" xfId="0" applyNumberFormat="1" applyFont="1" applyFill="1" applyBorder="1" applyAlignment="1">
      <alignment horizontal="center" vertical="center" wrapText="1"/>
    </xf>
    <xf numFmtId="1" fontId="37" fillId="20" borderId="1" xfId="0" applyNumberFormat="1" applyFont="1" applyFill="1" applyBorder="1" applyAlignment="1">
      <alignment horizontal="center" vertical="center" wrapText="1"/>
    </xf>
    <xf numFmtId="0" fontId="33" fillId="20" borderId="1" xfId="0" applyFont="1" applyFill="1" applyBorder="1" applyAlignment="1">
      <alignment horizontal="center" vertical="center" wrapText="1"/>
    </xf>
    <xf numFmtId="0" fontId="33" fillId="20" borderId="1" xfId="0" quotePrefix="1" applyFont="1" applyFill="1" applyBorder="1" applyAlignment="1">
      <alignment horizontal="center" vertical="center" wrapText="1"/>
    </xf>
    <xf numFmtId="0" fontId="24" fillId="20" borderId="1" xfId="0" applyFont="1" applyFill="1" applyBorder="1" applyAlignment="1">
      <alignment horizontal="center" vertical="center" wrapText="1"/>
    </xf>
    <xf numFmtId="0" fontId="24" fillId="20" borderId="1" xfId="0" quotePrefix="1" applyFont="1" applyFill="1" applyBorder="1" applyAlignment="1">
      <alignment horizontal="center" vertical="center" wrapText="1"/>
    </xf>
    <xf numFmtId="0" fontId="4" fillId="20" borderId="1" xfId="0" quotePrefix="1" applyFont="1" applyFill="1" applyBorder="1" applyAlignment="1">
      <alignment horizontal="center" vertical="center" wrapText="1"/>
    </xf>
    <xf numFmtId="167" fontId="5" fillId="20" borderId="1" xfId="1" applyNumberFormat="1" applyFont="1" applyFill="1" applyBorder="1" applyAlignment="1">
      <alignment horizontal="center" vertical="center" wrapText="1"/>
    </xf>
    <xf numFmtId="1" fontId="5" fillId="20" borderId="1" xfId="0" applyNumberFormat="1" applyFont="1" applyFill="1" applyBorder="1" applyAlignment="1">
      <alignment horizontal="center" vertical="center" wrapText="1"/>
    </xf>
    <xf numFmtId="165" fontId="5" fillId="20" borderId="1" xfId="1" applyNumberFormat="1" applyFont="1" applyFill="1" applyBorder="1" applyAlignment="1">
      <alignment vertical="center" wrapText="1"/>
    </xf>
    <xf numFmtId="0" fontId="5" fillId="20" borderId="1" xfId="0" applyFont="1" applyFill="1" applyBorder="1" applyAlignment="1">
      <alignment vertical="center" wrapText="1"/>
    </xf>
    <xf numFmtId="166" fontId="5" fillId="20" borderId="1" xfId="0" applyNumberFormat="1" applyFont="1" applyFill="1" applyBorder="1" applyAlignment="1">
      <alignment vertical="center" wrapText="1"/>
    </xf>
    <xf numFmtId="2" fontId="5" fillId="20" borderId="1" xfId="0" applyNumberFormat="1" applyFont="1" applyFill="1" applyBorder="1" applyAlignment="1">
      <alignment vertical="center" wrapText="1"/>
    </xf>
    <xf numFmtId="165" fontId="4" fillId="20" borderId="1" xfId="1" applyNumberFormat="1" applyFont="1" applyFill="1" applyBorder="1" applyAlignment="1">
      <alignment horizontal="center" vertical="center" wrapText="1"/>
    </xf>
    <xf numFmtId="165" fontId="4" fillId="20" borderId="1" xfId="1" applyNumberFormat="1" applyFont="1" applyFill="1" applyBorder="1" applyAlignment="1">
      <alignment vertical="center" wrapText="1"/>
    </xf>
    <xf numFmtId="0" fontId="24" fillId="20" borderId="12" xfId="0" applyFont="1" applyFill="1" applyBorder="1" applyAlignment="1">
      <alignment horizontal="center" vertical="center" wrapText="1"/>
    </xf>
    <xf numFmtId="0" fontId="1" fillId="19" borderId="13" xfId="0" applyFont="1" applyFill="1" applyBorder="1" applyAlignment="1">
      <alignment horizontal="center"/>
    </xf>
    <xf numFmtId="0" fontId="1" fillId="19" borderId="11" xfId="0" applyFont="1" applyFill="1" applyBorder="1" applyAlignment="1">
      <alignment horizontal="center" vertical="center" wrapText="1"/>
    </xf>
    <xf numFmtId="0" fontId="1" fillId="19" borderId="0" xfId="0" applyFont="1" applyFill="1" applyAlignment="1">
      <alignment horizontal="center" vertical="center" wrapText="1"/>
    </xf>
    <xf numFmtId="0" fontId="2" fillId="19" borderId="10" xfId="0" applyFont="1" applyFill="1" applyBorder="1" applyAlignment="1">
      <alignment horizontal="center" vertical="center" wrapText="1"/>
    </xf>
    <xf numFmtId="0" fontId="2" fillId="19" borderId="9" xfId="0" applyFont="1" applyFill="1" applyBorder="1" applyAlignment="1">
      <alignment horizontal="center" vertical="center" wrapText="1"/>
    </xf>
    <xf numFmtId="0" fontId="2" fillId="19" borderId="3" xfId="0" applyFont="1" applyFill="1" applyBorder="1" applyAlignment="1">
      <alignment horizontal="center" vertical="center" wrapText="1"/>
    </xf>
    <xf numFmtId="0" fontId="1" fillId="19" borderId="2" xfId="0" applyFont="1" applyFill="1" applyBorder="1" applyAlignment="1">
      <alignment horizontal="center" vertical="center"/>
    </xf>
    <xf numFmtId="0" fontId="1" fillId="19" borderId="3" xfId="0" applyFont="1" applyFill="1" applyBorder="1" applyAlignment="1">
      <alignment horizontal="center" vertical="center"/>
    </xf>
    <xf numFmtId="0" fontId="1" fillId="19" borderId="4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/>
    </xf>
    <xf numFmtId="0" fontId="27" fillId="6" borderId="2" xfId="0" applyFont="1" applyFill="1" applyBorder="1" applyAlignment="1">
      <alignment horizontal="center" vertical="center"/>
    </xf>
    <xf numFmtId="0" fontId="27" fillId="6" borderId="3" xfId="0" applyFont="1" applyFill="1" applyBorder="1" applyAlignment="1">
      <alignment horizontal="center" vertical="center"/>
    </xf>
    <xf numFmtId="0" fontId="27" fillId="6" borderId="4" xfId="0" applyFont="1" applyFill="1" applyBorder="1" applyAlignment="1">
      <alignment horizontal="center" vertical="center"/>
    </xf>
    <xf numFmtId="0" fontId="27" fillId="7" borderId="2" xfId="0" applyFont="1" applyFill="1" applyBorder="1" applyAlignment="1">
      <alignment horizontal="center" vertical="center"/>
    </xf>
    <xf numFmtId="0" fontId="27" fillId="7" borderId="3" xfId="0" applyFont="1" applyFill="1" applyBorder="1" applyAlignment="1">
      <alignment horizontal="center" vertical="center"/>
    </xf>
    <xf numFmtId="0" fontId="27" fillId="7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 vertical="center" wrapText="1"/>
    </xf>
    <xf numFmtId="0" fontId="29" fillId="9" borderId="3" xfId="0" applyFont="1" applyFill="1" applyBorder="1" applyAlignment="1">
      <alignment horizontal="center"/>
    </xf>
    <xf numFmtId="0" fontId="29" fillId="9" borderId="13" xfId="0" applyFont="1" applyFill="1" applyBorder="1" applyAlignment="1">
      <alignment horizontal="center"/>
    </xf>
    <xf numFmtId="0" fontId="29" fillId="9" borderId="2" xfId="0" applyFont="1" applyFill="1" applyBorder="1" applyAlignment="1">
      <alignment horizontal="center"/>
    </xf>
    <xf numFmtId="0" fontId="29" fillId="9" borderId="4" xfId="0" applyFont="1" applyFill="1" applyBorder="1" applyAlignment="1">
      <alignment horizontal="center"/>
    </xf>
    <xf numFmtId="0" fontId="29" fillId="9" borderId="11" xfId="0" applyFont="1" applyFill="1" applyBorder="1" applyAlignment="1">
      <alignment horizontal="center" vertical="center" wrapText="1"/>
    </xf>
    <xf numFmtId="0" fontId="29" fillId="9" borderId="0" xfId="0" applyFont="1" applyFill="1" applyAlignment="1">
      <alignment horizontal="center" vertical="center" wrapText="1"/>
    </xf>
    <xf numFmtId="0" fontId="30" fillId="9" borderId="10" xfId="0" applyFont="1" applyFill="1" applyBorder="1" applyAlignment="1">
      <alignment horizontal="center" vertical="center" wrapText="1"/>
    </xf>
    <xf numFmtId="0" fontId="30" fillId="9" borderId="12" xfId="0" applyFont="1" applyFill="1" applyBorder="1" applyAlignment="1">
      <alignment horizontal="center" vertical="center" wrapText="1"/>
    </xf>
    <xf numFmtId="0" fontId="30" fillId="9" borderId="3" xfId="0" applyFont="1" applyFill="1" applyBorder="1" applyAlignment="1">
      <alignment horizontal="center" vertical="center" wrapText="1"/>
    </xf>
    <xf numFmtId="0" fontId="29" fillId="9" borderId="2" xfId="0" applyFont="1" applyFill="1" applyBorder="1" applyAlignment="1">
      <alignment horizontal="center" vertical="center"/>
    </xf>
    <xf numFmtId="0" fontId="29" fillId="9" borderId="3" xfId="0" applyFont="1" applyFill="1" applyBorder="1" applyAlignment="1">
      <alignment horizontal="center" vertical="center"/>
    </xf>
    <xf numFmtId="0" fontId="29" fillId="9" borderId="4" xfId="0" applyFont="1" applyFill="1" applyBorder="1" applyAlignment="1">
      <alignment horizontal="center" vertical="center"/>
    </xf>
    <xf numFmtId="0" fontId="29" fillId="11" borderId="3" xfId="0" applyFont="1" applyFill="1" applyBorder="1" applyAlignment="1">
      <alignment horizontal="center"/>
    </xf>
    <xf numFmtId="0" fontId="29" fillId="11" borderId="13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1" fillId="11" borderId="11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6" fillId="11" borderId="10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2" fillId="13" borderId="2" xfId="0" applyFont="1" applyFill="1" applyBorder="1" applyAlignment="1">
      <alignment horizontal="center"/>
    </xf>
    <xf numFmtId="0" fontId="32" fillId="13" borderId="3" xfId="0" applyFont="1" applyFill="1" applyBorder="1" applyAlignment="1">
      <alignment horizontal="center"/>
    </xf>
    <xf numFmtId="0" fontId="32" fillId="13" borderId="4" xfId="0" applyFont="1" applyFill="1" applyBorder="1" applyAlignment="1">
      <alignment horizontal="center"/>
    </xf>
    <xf numFmtId="0" fontId="32" fillId="13" borderId="11" xfId="0" applyFont="1" applyFill="1" applyBorder="1" applyAlignment="1">
      <alignment horizontal="center" vertical="center" wrapText="1"/>
    </xf>
    <xf numFmtId="0" fontId="32" fillId="13" borderId="0" xfId="0" applyFont="1" applyFill="1" applyAlignment="1">
      <alignment horizontal="center" vertical="center" wrapText="1"/>
    </xf>
    <xf numFmtId="0" fontId="33" fillId="13" borderId="10" xfId="0" applyFont="1" applyFill="1" applyBorder="1" applyAlignment="1">
      <alignment horizontal="center" vertical="center" wrapText="1"/>
    </xf>
    <xf numFmtId="0" fontId="33" fillId="13" borderId="12" xfId="0" applyFont="1" applyFill="1" applyBorder="1" applyAlignment="1">
      <alignment horizontal="center" vertical="center" wrapText="1"/>
    </xf>
    <xf numFmtId="0" fontId="33" fillId="13" borderId="3" xfId="0" applyFont="1" applyFill="1" applyBorder="1" applyAlignment="1">
      <alignment horizontal="center" vertical="center" wrapText="1"/>
    </xf>
    <xf numFmtId="0" fontId="32" fillId="13" borderId="2" xfId="0" applyFont="1" applyFill="1" applyBorder="1" applyAlignment="1">
      <alignment horizontal="center" vertical="center"/>
    </xf>
    <xf numFmtId="0" fontId="32" fillId="13" borderId="3" xfId="0" applyFont="1" applyFill="1" applyBorder="1" applyAlignment="1">
      <alignment horizontal="center" vertical="center"/>
    </xf>
    <xf numFmtId="0" fontId="32" fillId="13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14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6" fillId="3" borderId="10" xfId="0" applyFont="1" applyFill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vertical="center" wrapText="1"/>
    </xf>
    <xf numFmtId="0" fontId="19" fillId="8" borderId="10" xfId="0" applyFont="1" applyFill="1" applyBorder="1" applyAlignment="1">
      <alignment horizontal="center" vertical="center" wrapText="1"/>
    </xf>
    <xf numFmtId="0" fontId="19" fillId="8" borderId="9" xfId="0" applyFont="1" applyFill="1" applyBorder="1" applyAlignment="1">
      <alignment horizontal="center" vertical="center" wrapText="1"/>
    </xf>
    <xf numFmtId="0" fontId="18" fillId="8" borderId="0" xfId="0" applyFont="1" applyFill="1" applyAlignment="1">
      <alignment horizontal="center" vertical="center" wrapText="1"/>
    </xf>
    <xf numFmtId="0" fontId="22" fillId="8" borderId="0" xfId="0" applyFont="1" applyFill="1" applyAlignment="1">
      <alignment horizontal="center" wrapText="1"/>
    </xf>
    <xf numFmtId="0" fontId="18" fillId="8" borderId="2" xfId="0" applyFont="1" applyFill="1" applyBorder="1" applyAlignment="1">
      <alignment horizontal="center" vertical="center" wrapText="1"/>
    </xf>
    <xf numFmtId="0" fontId="18" fillId="8" borderId="3" xfId="0" applyFont="1" applyFill="1" applyBorder="1" applyAlignment="1">
      <alignment horizontal="center" vertical="center" wrapText="1"/>
    </xf>
    <xf numFmtId="0" fontId="18" fillId="8" borderId="4" xfId="0" applyFont="1" applyFill="1" applyBorder="1" applyAlignment="1">
      <alignment horizontal="center" vertical="center" wrapText="1"/>
    </xf>
    <xf numFmtId="0" fontId="29" fillId="18" borderId="36" xfId="0" applyFont="1" applyFill="1" applyBorder="1" applyAlignment="1">
      <alignment horizontal="center" vertical="center"/>
    </xf>
    <xf numFmtId="0" fontId="29" fillId="18" borderId="37" xfId="0" applyFont="1" applyFill="1" applyBorder="1" applyAlignment="1">
      <alignment horizontal="center" vertical="center"/>
    </xf>
    <xf numFmtId="0" fontId="35" fillId="18" borderId="32" xfId="0" applyFont="1" applyFill="1" applyBorder="1" applyAlignment="1">
      <alignment horizontal="center" vertical="center"/>
    </xf>
    <xf numFmtId="0" fontId="35" fillId="18" borderId="33" xfId="0" applyFont="1" applyFill="1" applyBorder="1" applyAlignment="1">
      <alignment horizontal="center" vertical="center"/>
    </xf>
    <xf numFmtId="0" fontId="35" fillId="18" borderId="34" xfId="0" applyFont="1" applyFill="1" applyBorder="1" applyAlignment="1">
      <alignment horizontal="center" vertical="center"/>
    </xf>
    <xf numFmtId="0" fontId="35" fillId="18" borderId="68" xfId="0" applyFont="1" applyFill="1" applyBorder="1" applyAlignment="1">
      <alignment horizontal="center" vertical="center"/>
    </xf>
    <xf numFmtId="0" fontId="35" fillId="18" borderId="60" xfId="0" applyFont="1" applyFill="1" applyBorder="1" applyAlignment="1">
      <alignment horizontal="center" vertical="center"/>
    </xf>
    <xf numFmtId="0" fontId="35" fillId="18" borderId="61" xfId="0" applyFont="1" applyFill="1" applyBorder="1" applyAlignment="1">
      <alignment horizontal="center" vertical="center"/>
    </xf>
    <xf numFmtId="0" fontId="29" fillId="18" borderId="59" xfId="0" applyFont="1" applyFill="1" applyBorder="1" applyAlignment="1">
      <alignment horizontal="center" vertical="center"/>
    </xf>
    <xf numFmtId="0" fontId="29" fillId="18" borderId="56" xfId="0" applyFont="1" applyFill="1" applyBorder="1" applyAlignment="1">
      <alignment horizontal="center" vertical="center"/>
    </xf>
    <xf numFmtId="0" fontId="29" fillId="18" borderId="38" xfId="0" applyFont="1" applyFill="1" applyBorder="1" applyAlignment="1">
      <alignment horizontal="center" vertical="center"/>
    </xf>
    <xf numFmtId="0" fontId="29" fillId="18" borderId="48" xfId="0" applyFont="1" applyFill="1" applyBorder="1" applyAlignment="1">
      <alignment horizontal="center" vertical="center"/>
    </xf>
    <xf numFmtId="0" fontId="29" fillId="0" borderId="38" xfId="0" applyFont="1" applyBorder="1" applyAlignment="1">
      <alignment horizontal="center" vertical="center"/>
    </xf>
    <xf numFmtId="0" fontId="29" fillId="0" borderId="43" xfId="0" applyFont="1" applyBorder="1" applyAlignment="1">
      <alignment horizontal="center" vertical="center"/>
    </xf>
    <xf numFmtId="0" fontId="29" fillId="0" borderId="40" xfId="0" applyFont="1" applyBorder="1" applyAlignment="1">
      <alignment horizontal="center" vertical="center"/>
    </xf>
    <xf numFmtId="0" fontId="29" fillId="0" borderId="48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29" fillId="0" borderId="49" xfId="0" applyFont="1" applyBorder="1" applyAlignment="1">
      <alignment horizontal="center" vertical="center"/>
    </xf>
    <xf numFmtId="0" fontId="29" fillId="18" borderId="64" xfId="0" applyFont="1" applyFill="1" applyBorder="1" applyAlignment="1">
      <alignment horizontal="center" vertical="center"/>
    </xf>
    <xf numFmtId="0" fontId="29" fillId="0" borderId="44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32" fillId="18" borderId="32" xfId="0" applyFont="1" applyFill="1" applyBorder="1" applyAlignment="1">
      <alignment horizontal="center" vertical="center"/>
    </xf>
    <xf numFmtId="0" fontId="32" fillId="18" borderId="33" xfId="0" applyFont="1" applyFill="1" applyBorder="1" applyAlignment="1">
      <alignment horizontal="center" vertical="center"/>
    </xf>
    <xf numFmtId="0" fontId="32" fillId="18" borderId="34" xfId="0" applyFont="1" applyFill="1" applyBorder="1" applyAlignment="1">
      <alignment horizontal="center" vertical="center"/>
    </xf>
    <xf numFmtId="0" fontId="29" fillId="18" borderId="40" xfId="0" applyFont="1" applyFill="1" applyBorder="1" applyAlignment="1">
      <alignment horizontal="center" vertical="center"/>
    </xf>
    <xf numFmtId="0" fontId="29" fillId="18" borderId="46" xfId="0" applyFont="1" applyFill="1" applyBorder="1" applyAlignment="1">
      <alignment horizontal="center" vertical="center"/>
    </xf>
    <xf numFmtId="0" fontId="29" fillId="18" borderId="47" xfId="0" applyFont="1" applyFill="1" applyBorder="1" applyAlignment="1">
      <alignment horizontal="center" vertical="center"/>
    </xf>
    <xf numFmtId="0" fontId="29" fillId="18" borderId="39" xfId="0" applyFont="1" applyFill="1" applyBorder="1" applyAlignment="1">
      <alignment horizontal="center" vertical="center"/>
    </xf>
    <xf numFmtId="0" fontId="29" fillId="18" borderId="57" xfId="0" applyFont="1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32" fillId="18" borderId="60" xfId="0" applyFont="1" applyFill="1" applyBorder="1" applyAlignment="1">
      <alignment horizontal="center" vertical="center"/>
    </xf>
    <xf numFmtId="0" fontId="29" fillId="18" borderId="41" xfId="0" applyFont="1" applyFill="1" applyBorder="1" applyAlignment="1">
      <alignment horizontal="center" vertical="center"/>
    </xf>
    <xf numFmtId="0" fontId="32" fillId="18" borderId="68" xfId="0" applyFont="1" applyFill="1" applyBorder="1" applyAlignment="1">
      <alignment horizontal="center" vertical="center"/>
    </xf>
    <xf numFmtId="0" fontId="32" fillId="18" borderId="61" xfId="0" applyFont="1" applyFill="1" applyBorder="1" applyAlignment="1">
      <alignment horizontal="center" vertical="center"/>
    </xf>
    <xf numFmtId="0" fontId="29" fillId="18" borderId="42" xfId="0" applyFont="1" applyFill="1" applyBorder="1" applyAlignment="1">
      <alignment horizontal="center" vertical="center"/>
    </xf>
    <xf numFmtId="0" fontId="29" fillId="18" borderId="71" xfId="0" applyFont="1" applyFill="1" applyBorder="1" applyAlignment="1">
      <alignment horizontal="center" vertical="center"/>
    </xf>
    <xf numFmtId="0" fontId="29" fillId="18" borderId="24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2" fillId="17" borderId="21" xfId="0" applyFont="1" applyFill="1" applyBorder="1" applyAlignment="1">
      <alignment horizontal="center" vertical="center"/>
    </xf>
    <xf numFmtId="0" fontId="29" fillId="17" borderId="23" xfId="0" applyFont="1" applyFill="1" applyBorder="1" applyAlignment="1">
      <alignment horizontal="center" vertical="center"/>
    </xf>
    <xf numFmtId="0" fontId="29" fillId="17" borderId="24" xfId="0" applyFont="1" applyFill="1" applyBorder="1" applyAlignment="1">
      <alignment horizontal="center" vertical="center"/>
    </xf>
    <xf numFmtId="0" fontId="29" fillId="17" borderId="21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FF9933"/>
      <color rgb="FF00FF00"/>
      <color rgb="FF99FFCC"/>
      <color rgb="FFFF6699"/>
      <color rgb="FFF6D7F9"/>
      <color rgb="FFE1FFF0"/>
      <color rgb="FFD2F8FE"/>
      <color rgb="FFDE56A7"/>
      <color rgb="FFD1FF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G51"/>
  <sheetViews>
    <sheetView showGridLines="0" view="pageBreakPreview" zoomScale="10" zoomScaleNormal="140" zoomScaleSheetLayoutView="10" workbookViewId="0">
      <selection activeCell="V49" sqref="V49"/>
    </sheetView>
  </sheetViews>
  <sheetFormatPr baseColWidth="10" defaultRowHeight="15" x14ac:dyDescent="0.25"/>
  <cols>
    <col min="2" max="2" width="4.85546875" customWidth="1"/>
    <col min="3" max="3" width="3.28515625" customWidth="1"/>
    <col min="4" max="4" width="12.7109375" customWidth="1"/>
    <col min="5" max="5" width="30.5703125" customWidth="1"/>
    <col min="6" max="6" width="8.140625" customWidth="1"/>
    <col min="7" max="7" width="8" customWidth="1"/>
    <col min="8" max="8" width="14" bestFit="1" customWidth="1"/>
    <col min="9" max="9" width="5.5703125" customWidth="1"/>
    <col min="10" max="10" width="7.5703125" bestFit="1" customWidth="1"/>
    <col min="11" max="11" width="15.7109375" customWidth="1"/>
    <col min="12" max="13" width="8.42578125" customWidth="1"/>
    <col min="14" max="14" width="8.5703125" customWidth="1"/>
    <col min="15" max="15" width="6.85546875" customWidth="1"/>
    <col min="16" max="16" width="9.5703125" customWidth="1"/>
    <col min="17" max="17" width="12.140625" bestFit="1" customWidth="1"/>
    <col min="18" max="18" width="12.5703125" customWidth="1"/>
    <col min="19" max="19" width="13.28515625" customWidth="1"/>
    <col min="20" max="20" width="16" customWidth="1"/>
    <col min="21" max="21" width="17.140625" bestFit="1" customWidth="1"/>
    <col min="23" max="23" width="15.7109375" customWidth="1"/>
    <col min="24" max="25" width="8.42578125" customWidth="1"/>
    <col min="26" max="26" width="8.5703125" customWidth="1"/>
    <col min="27" max="27" width="6.85546875" customWidth="1"/>
    <col min="28" max="28" width="9.5703125" customWidth="1"/>
    <col min="29" max="29" width="12.140625" bestFit="1" customWidth="1"/>
    <col min="30" max="30" width="12.5703125" customWidth="1"/>
    <col min="31" max="31" width="13.28515625" customWidth="1"/>
    <col min="32" max="32" width="16" customWidth="1"/>
    <col min="33" max="33" width="17.140625" bestFit="1" customWidth="1"/>
  </cols>
  <sheetData>
    <row r="1" spans="2:33" ht="15.75" thickBot="1" x14ac:dyDescent="0.3"/>
    <row r="2" spans="2:33" ht="50.25" customHeight="1" thickBot="1" x14ac:dyDescent="0.3">
      <c r="B2" s="410" t="s">
        <v>26</v>
      </c>
      <c r="C2" s="411"/>
      <c r="D2" s="412"/>
      <c r="E2" s="412"/>
      <c r="F2" s="412"/>
      <c r="G2" s="412"/>
      <c r="H2" s="412"/>
      <c r="I2" s="413"/>
      <c r="J2" s="6"/>
      <c r="L2" s="399"/>
      <c r="M2" s="400"/>
      <c r="N2" s="400"/>
      <c r="O2" s="400"/>
      <c r="P2" s="400"/>
      <c r="Q2" s="400"/>
      <c r="R2" s="400"/>
      <c r="S2" s="400"/>
      <c r="T2" s="400"/>
      <c r="U2" s="400"/>
      <c r="X2" s="399"/>
      <c r="Y2" s="400"/>
      <c r="Z2" s="400"/>
      <c r="AA2" s="400"/>
      <c r="AB2" s="400"/>
      <c r="AC2" s="400"/>
      <c r="AD2" s="400"/>
      <c r="AE2" s="400"/>
      <c r="AF2" s="400"/>
      <c r="AG2" s="400"/>
    </row>
    <row r="3" spans="2:33" ht="2.25" customHeight="1" thickBot="1" x14ac:dyDescent="0.3"/>
    <row r="4" spans="2:33" ht="28.5" customHeight="1" thickBot="1" x14ac:dyDescent="0.3">
      <c r="B4" s="408" t="s">
        <v>0</v>
      </c>
      <c r="D4" s="408" t="s">
        <v>1</v>
      </c>
      <c r="E4" s="408" t="s">
        <v>2</v>
      </c>
      <c r="F4" s="414" t="s">
        <v>3</v>
      </c>
      <c r="G4" s="415"/>
      <c r="H4" s="408" t="s">
        <v>20</v>
      </c>
      <c r="I4" s="408" t="s">
        <v>4</v>
      </c>
      <c r="J4" s="7"/>
      <c r="L4" s="401"/>
      <c r="M4" s="16"/>
      <c r="N4" s="401"/>
      <c r="O4" s="401"/>
      <c r="P4" s="401"/>
      <c r="Q4" s="403"/>
      <c r="R4" s="10"/>
      <c r="S4" s="401"/>
      <c r="T4" s="10"/>
      <c r="U4" s="401"/>
      <c r="X4" s="401"/>
      <c r="Y4" s="16"/>
      <c r="Z4" s="401"/>
      <c r="AA4" s="401"/>
      <c r="AB4" s="401"/>
      <c r="AC4" s="403"/>
      <c r="AD4" s="10"/>
      <c r="AE4" s="401"/>
      <c r="AF4" s="10"/>
      <c r="AG4" s="401"/>
    </row>
    <row r="5" spans="2:33" ht="15.75" thickBot="1" x14ac:dyDescent="0.3">
      <c r="B5" s="409"/>
      <c r="D5" s="409"/>
      <c r="E5" s="409"/>
      <c r="F5" s="2" t="s">
        <v>5</v>
      </c>
      <c r="G5" s="2" t="s">
        <v>6</v>
      </c>
      <c r="H5" s="409"/>
      <c r="I5" s="409"/>
      <c r="J5" s="7"/>
      <c r="L5" s="402"/>
      <c r="M5" s="17"/>
      <c r="N5" s="402"/>
      <c r="O5" s="402"/>
      <c r="P5" s="402"/>
      <c r="Q5" s="404"/>
      <c r="R5" s="11"/>
      <c r="S5" s="402"/>
      <c r="T5" s="10"/>
      <c r="U5" s="402"/>
      <c r="X5" s="402"/>
      <c r="Y5" s="17"/>
      <c r="Z5" s="402"/>
      <c r="AA5" s="402"/>
      <c r="AB5" s="402"/>
      <c r="AC5" s="404"/>
      <c r="AD5" s="11"/>
      <c r="AE5" s="402"/>
      <c r="AF5" s="10"/>
      <c r="AG5" s="402"/>
    </row>
    <row r="6" spans="2:33" ht="1.5" customHeight="1" thickBot="1" x14ac:dyDescent="0.3">
      <c r="B6" s="1"/>
      <c r="D6" s="1"/>
      <c r="E6" s="1"/>
      <c r="F6" s="1"/>
      <c r="G6" s="1"/>
      <c r="H6" s="1"/>
      <c r="I6" s="1"/>
      <c r="J6" s="1"/>
    </row>
    <row r="7" spans="2:33" ht="24.75" thickBot="1" x14ac:dyDescent="0.3">
      <c r="B7" s="3">
        <v>1</v>
      </c>
      <c r="D7" s="4" t="s">
        <v>7</v>
      </c>
      <c r="E7" s="4" t="s">
        <v>8</v>
      </c>
      <c r="F7" s="4">
        <v>747457</v>
      </c>
      <c r="G7" s="4">
        <v>9066203</v>
      </c>
      <c r="H7" s="4">
        <v>72</v>
      </c>
      <c r="I7" s="4" t="s">
        <v>9</v>
      </c>
      <c r="J7" s="8"/>
      <c r="L7" s="12"/>
      <c r="M7" s="12"/>
      <c r="N7" s="12"/>
      <c r="O7" s="12"/>
      <c r="P7" s="12"/>
      <c r="Q7" s="12"/>
      <c r="R7" s="12"/>
      <c r="S7" s="12"/>
      <c r="T7" s="12"/>
      <c r="U7" s="12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 spans="2:33" ht="24.75" thickBot="1" x14ac:dyDescent="0.3">
      <c r="B8" s="4">
        <v>2</v>
      </c>
      <c r="D8" s="4" t="s">
        <v>10</v>
      </c>
      <c r="E8" s="4" t="s">
        <v>11</v>
      </c>
      <c r="F8" s="4">
        <v>747398</v>
      </c>
      <c r="G8" s="4">
        <v>9066295</v>
      </c>
      <c r="H8" s="4">
        <v>73</v>
      </c>
      <c r="I8" s="4" t="s">
        <v>9</v>
      </c>
      <c r="J8" s="8"/>
      <c r="L8" s="12"/>
      <c r="M8" s="12"/>
      <c r="N8" s="12"/>
      <c r="O8" s="12"/>
      <c r="P8" s="12"/>
      <c r="Q8" s="12"/>
      <c r="R8" s="12"/>
      <c r="S8" s="12"/>
      <c r="T8" s="12"/>
      <c r="U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 spans="2:33" ht="24.75" thickBot="1" x14ac:dyDescent="0.3">
      <c r="B9" s="5">
        <v>3</v>
      </c>
      <c r="D9" s="5" t="s">
        <v>12</v>
      </c>
      <c r="E9" s="5" t="s">
        <v>13</v>
      </c>
      <c r="F9" s="5">
        <v>747195</v>
      </c>
      <c r="G9" s="5">
        <v>9066038</v>
      </c>
      <c r="H9" s="5">
        <v>71</v>
      </c>
      <c r="I9" s="5" t="s">
        <v>9</v>
      </c>
      <c r="J9" s="9"/>
      <c r="L9" s="13"/>
      <c r="M9" s="13"/>
      <c r="N9" s="12"/>
      <c r="O9" s="12"/>
      <c r="P9" s="12"/>
      <c r="Q9" s="12"/>
      <c r="R9" s="12"/>
      <c r="S9" s="12"/>
      <c r="T9" s="12"/>
      <c r="U9" s="12"/>
      <c r="X9" s="13"/>
      <c r="Y9" s="13"/>
      <c r="Z9" s="12"/>
      <c r="AA9" s="12"/>
      <c r="AB9" s="12"/>
      <c r="AC9" s="12"/>
      <c r="AD9" s="12"/>
      <c r="AE9" s="12"/>
      <c r="AF9" s="12"/>
      <c r="AG9" s="12"/>
    </row>
    <row r="10" spans="2:33" ht="24.75" thickBot="1" x14ac:dyDescent="0.3">
      <c r="B10" s="4">
        <v>4</v>
      </c>
      <c r="D10" s="4" t="s">
        <v>14</v>
      </c>
      <c r="E10" s="4" t="s">
        <v>15</v>
      </c>
      <c r="F10" s="4">
        <v>744362</v>
      </c>
      <c r="G10" s="4">
        <v>9064878</v>
      </c>
      <c r="H10" s="4">
        <v>62</v>
      </c>
      <c r="I10" s="4" t="s">
        <v>9</v>
      </c>
      <c r="J10" s="8"/>
      <c r="L10" s="12"/>
      <c r="M10" s="12"/>
      <c r="N10" s="12"/>
      <c r="O10" s="12"/>
      <c r="P10" s="12"/>
      <c r="Q10" s="12"/>
      <c r="R10" s="12"/>
      <c r="S10" s="12"/>
      <c r="T10" s="12"/>
      <c r="U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  <row r="11" spans="2:33" ht="36.75" thickBot="1" x14ac:dyDescent="0.3">
      <c r="B11" s="4">
        <v>5</v>
      </c>
      <c r="D11" s="4" t="s">
        <v>16</v>
      </c>
      <c r="E11" s="4" t="s">
        <v>21</v>
      </c>
      <c r="F11" s="4">
        <v>740100</v>
      </c>
      <c r="G11" s="4">
        <v>9065601</v>
      </c>
      <c r="H11" s="4">
        <v>43</v>
      </c>
      <c r="I11" s="4" t="s">
        <v>9</v>
      </c>
      <c r="J11" s="8"/>
      <c r="L11" s="12"/>
      <c r="M11" s="12"/>
      <c r="N11" s="12"/>
      <c r="O11" s="12"/>
      <c r="P11" s="12"/>
      <c r="Q11" s="12"/>
      <c r="R11" s="12"/>
      <c r="S11" s="12"/>
      <c r="T11" s="12"/>
      <c r="U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 spans="2:33" ht="24.75" thickBot="1" x14ac:dyDescent="0.3">
      <c r="B12" s="4">
        <v>6</v>
      </c>
      <c r="D12" s="4" t="s">
        <v>17</v>
      </c>
      <c r="E12" s="4" t="s">
        <v>18</v>
      </c>
      <c r="F12" s="4">
        <v>751514</v>
      </c>
      <c r="G12" s="4">
        <v>9068745</v>
      </c>
      <c r="H12" s="4">
        <v>233</v>
      </c>
      <c r="I12" s="4" t="s">
        <v>9</v>
      </c>
      <c r="J12" s="8"/>
      <c r="L12" s="12"/>
      <c r="M12" s="12"/>
      <c r="N12" s="12"/>
      <c r="O12" s="12"/>
      <c r="P12" s="12"/>
      <c r="Q12" s="12"/>
      <c r="R12" s="12"/>
      <c r="S12" s="12"/>
      <c r="T12" s="12"/>
      <c r="U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 spans="2:33" ht="24.75" thickBot="1" x14ac:dyDescent="0.3">
      <c r="B13" s="4">
        <v>7</v>
      </c>
      <c r="D13" s="4" t="s">
        <v>22</v>
      </c>
      <c r="E13" s="4" t="s">
        <v>19</v>
      </c>
      <c r="F13" s="4">
        <v>750739</v>
      </c>
      <c r="G13" s="4">
        <v>9069573</v>
      </c>
      <c r="H13" s="4">
        <v>119</v>
      </c>
      <c r="I13" s="4" t="s">
        <v>9</v>
      </c>
      <c r="J13" s="8"/>
      <c r="L13" s="12"/>
      <c r="M13" s="12"/>
      <c r="N13" s="12"/>
      <c r="O13" s="12"/>
      <c r="P13" s="12"/>
      <c r="Q13" s="12"/>
      <c r="R13" s="12"/>
      <c r="S13" s="12"/>
      <c r="T13" s="12"/>
      <c r="U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</row>
    <row r="14" spans="2:33" ht="6" customHeight="1" x14ac:dyDescent="0.25"/>
    <row r="15" spans="2:33" ht="6" customHeight="1" x14ac:dyDescent="0.25"/>
    <row r="17" spans="11:33" ht="31.5" customHeight="1" x14ac:dyDescent="0.25">
      <c r="K17" s="406"/>
      <c r="L17" s="407"/>
      <c r="M17" s="407"/>
      <c r="N17" s="407"/>
      <c r="O17" s="407"/>
      <c r="P17" s="407"/>
      <c r="Q17" s="407"/>
      <c r="R17" s="407"/>
      <c r="S17" s="407"/>
      <c r="T17" s="407"/>
      <c r="U17" s="407"/>
      <c r="W17" s="396" t="s">
        <v>70</v>
      </c>
      <c r="X17" s="397"/>
      <c r="Y17" s="397"/>
      <c r="Z17" s="397"/>
      <c r="AA17" s="397"/>
      <c r="AB17" s="397"/>
      <c r="AC17" s="397"/>
      <c r="AD17" s="397"/>
      <c r="AE17" s="397"/>
      <c r="AF17" s="397"/>
      <c r="AG17" s="397"/>
    </row>
    <row r="18" spans="11:33" ht="2.25" customHeight="1" thickBot="1" x14ac:dyDescent="0.3"/>
    <row r="19" spans="11:33" ht="24.75" customHeight="1" thickBot="1" x14ac:dyDescent="0.3">
      <c r="K19" s="403"/>
      <c r="L19" s="403"/>
      <c r="M19" s="405"/>
      <c r="N19" s="405"/>
      <c r="O19" s="394"/>
      <c r="P19" s="394"/>
      <c r="Q19" s="394"/>
      <c r="R19" s="394"/>
      <c r="S19" s="394"/>
      <c r="T19" s="394"/>
      <c r="U19" s="394"/>
      <c r="W19" s="390" t="s">
        <v>34</v>
      </c>
      <c r="X19" s="390" t="s">
        <v>35</v>
      </c>
      <c r="Y19" s="398" t="s">
        <v>33</v>
      </c>
      <c r="Z19" s="398"/>
      <c r="AA19" s="388" t="s">
        <v>27</v>
      </c>
      <c r="AB19" s="388" t="s">
        <v>28</v>
      </c>
      <c r="AC19" s="388" t="s">
        <v>29</v>
      </c>
      <c r="AD19" s="388" t="s">
        <v>30</v>
      </c>
      <c r="AE19" s="388" t="s">
        <v>31</v>
      </c>
      <c r="AF19" s="388" t="s">
        <v>25</v>
      </c>
      <c r="AG19" s="388" t="s">
        <v>32</v>
      </c>
    </row>
    <row r="20" spans="11:33" ht="24.75" customHeight="1" thickBot="1" x14ac:dyDescent="0.3">
      <c r="K20" s="404"/>
      <c r="L20" s="404"/>
      <c r="M20" s="20"/>
      <c r="N20" s="21"/>
      <c r="O20" s="395"/>
      <c r="P20" s="395"/>
      <c r="Q20" s="395"/>
      <c r="R20" s="395"/>
      <c r="S20" s="395"/>
      <c r="T20" s="395"/>
      <c r="U20" s="395"/>
      <c r="W20" s="391"/>
      <c r="X20" s="391"/>
      <c r="Y20" s="19" t="s">
        <v>60</v>
      </c>
      <c r="Z20" s="18" t="s">
        <v>61</v>
      </c>
      <c r="AA20" s="389"/>
      <c r="AB20" s="389"/>
      <c r="AC20" s="389"/>
      <c r="AD20" s="389"/>
      <c r="AE20" s="389"/>
      <c r="AF20" s="389"/>
      <c r="AG20" s="389"/>
    </row>
    <row r="21" spans="11:33" ht="3" customHeight="1" thickBot="1" x14ac:dyDescent="0.3"/>
    <row r="22" spans="11:33" ht="24.75" thickBot="1" x14ac:dyDescent="0.3"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W22" s="4" t="s">
        <v>41</v>
      </c>
      <c r="X22" s="4" t="s">
        <v>64</v>
      </c>
      <c r="Y22" s="4" t="s">
        <v>62</v>
      </c>
      <c r="Z22" s="4" t="s">
        <v>63</v>
      </c>
      <c r="AA22" s="4"/>
      <c r="AB22" s="4"/>
      <c r="AC22" s="4"/>
      <c r="AD22" s="4"/>
      <c r="AE22" s="4"/>
      <c r="AF22" s="4"/>
      <c r="AG22" s="4"/>
    </row>
    <row r="23" spans="11:33" ht="15.75" thickBot="1" x14ac:dyDescent="0.3">
      <c r="K23" s="12"/>
      <c r="L23" s="22"/>
      <c r="M23" s="22"/>
      <c r="N23" s="12"/>
      <c r="O23" s="12"/>
      <c r="P23" s="12"/>
      <c r="Q23" s="12"/>
      <c r="R23" s="12"/>
      <c r="S23" s="12"/>
      <c r="T23" s="12"/>
      <c r="U23" s="12"/>
      <c r="W23" s="4" t="s">
        <v>23</v>
      </c>
      <c r="X23" s="14" t="s">
        <v>37</v>
      </c>
      <c r="Y23" s="14" t="s">
        <v>65</v>
      </c>
      <c r="Z23" s="4" t="s">
        <v>66</v>
      </c>
      <c r="AA23" s="4"/>
      <c r="AB23" s="4"/>
      <c r="AC23" s="4"/>
      <c r="AD23" s="4"/>
      <c r="AE23" s="4"/>
      <c r="AF23" s="4"/>
      <c r="AG23" s="4"/>
    </row>
    <row r="24" spans="11:33" ht="24.75" thickBot="1" x14ac:dyDescent="0.3">
      <c r="K24" s="12"/>
      <c r="L24" s="12"/>
      <c r="M24" s="22"/>
      <c r="N24" s="22"/>
      <c r="O24" s="12"/>
      <c r="P24" s="12"/>
      <c r="Q24" s="12"/>
      <c r="R24" s="12"/>
      <c r="S24" s="12"/>
      <c r="T24" s="12"/>
      <c r="U24" s="12"/>
      <c r="W24" s="4" t="s">
        <v>38</v>
      </c>
      <c r="X24" s="4" t="s">
        <v>24</v>
      </c>
      <c r="Y24" s="14" t="s">
        <v>37</v>
      </c>
      <c r="Z24" s="14" t="s">
        <v>37</v>
      </c>
      <c r="AA24" s="4"/>
      <c r="AB24" s="4"/>
      <c r="AC24" s="4"/>
      <c r="AD24" s="4"/>
      <c r="AE24" s="4"/>
      <c r="AF24" s="4"/>
      <c r="AG24" s="4"/>
    </row>
    <row r="25" spans="11:33" ht="15.75" thickBot="1" x14ac:dyDescent="0.3">
      <c r="K25" s="12"/>
      <c r="L25" s="12"/>
      <c r="M25" s="22"/>
      <c r="N25" s="22"/>
      <c r="O25" s="12"/>
      <c r="P25" s="12"/>
      <c r="Q25" s="12"/>
      <c r="R25" s="12"/>
      <c r="S25" s="12"/>
      <c r="T25" s="12"/>
      <c r="U25" s="12"/>
      <c r="W25" s="4" t="s">
        <v>39</v>
      </c>
      <c r="X25" s="4" t="s">
        <v>40</v>
      </c>
      <c r="Y25" s="14" t="s">
        <v>37</v>
      </c>
      <c r="Z25" s="14" t="s">
        <v>37</v>
      </c>
      <c r="AA25" s="4"/>
      <c r="AB25" s="4"/>
      <c r="AC25" s="4"/>
      <c r="AD25" s="4"/>
      <c r="AE25" s="4"/>
      <c r="AF25" s="4"/>
      <c r="AG25" s="4"/>
    </row>
    <row r="26" spans="11:33" ht="21.75" customHeight="1" x14ac:dyDescent="0.25"/>
    <row r="27" spans="11:33" ht="33.75" customHeight="1" x14ac:dyDescent="0.25">
      <c r="K27" s="396" t="s">
        <v>36</v>
      </c>
      <c r="L27" s="397"/>
      <c r="M27" s="397"/>
      <c r="N27" s="397"/>
      <c r="O27" s="397"/>
      <c r="P27" s="397"/>
      <c r="Q27" s="397"/>
      <c r="R27" s="397"/>
      <c r="S27" s="397"/>
      <c r="T27" s="397"/>
      <c r="U27" s="397"/>
      <c r="W27" s="396" t="s">
        <v>71</v>
      </c>
      <c r="X27" s="397"/>
      <c r="Y27" s="397"/>
      <c r="Z27" s="397"/>
      <c r="AA27" s="397"/>
      <c r="AB27" s="397"/>
      <c r="AC27" s="397"/>
      <c r="AD27" s="397"/>
      <c r="AE27" s="397"/>
      <c r="AF27" s="397"/>
      <c r="AG27" s="397"/>
    </row>
    <row r="28" spans="11:33" ht="3.75" customHeight="1" thickBot="1" x14ac:dyDescent="0.3"/>
    <row r="29" spans="11:33" ht="24.75" customHeight="1" thickBot="1" x14ac:dyDescent="0.3">
      <c r="K29" s="390" t="s">
        <v>34</v>
      </c>
      <c r="L29" s="390" t="s">
        <v>35</v>
      </c>
      <c r="M29" s="398" t="s">
        <v>33</v>
      </c>
      <c r="N29" s="398"/>
      <c r="O29" s="25" t="s">
        <v>73</v>
      </c>
      <c r="P29" s="25" t="s">
        <v>74</v>
      </c>
      <c r="Q29" s="25" t="s">
        <v>75</v>
      </c>
      <c r="R29" s="25" t="s">
        <v>76</v>
      </c>
      <c r="S29" s="25" t="s">
        <v>77</v>
      </c>
      <c r="T29" s="25" t="s">
        <v>78</v>
      </c>
      <c r="U29" s="25" t="s">
        <v>79</v>
      </c>
      <c r="W29" s="390" t="s">
        <v>34</v>
      </c>
      <c r="X29" s="390" t="s">
        <v>35</v>
      </c>
      <c r="Y29" s="398" t="s">
        <v>33</v>
      </c>
      <c r="Z29" s="398"/>
      <c r="AA29" s="388" t="s">
        <v>27</v>
      </c>
      <c r="AB29" s="388" t="s">
        <v>28</v>
      </c>
      <c r="AC29" s="388" t="s">
        <v>29</v>
      </c>
      <c r="AD29" s="388" t="s">
        <v>30</v>
      </c>
      <c r="AE29" s="388" t="s">
        <v>31</v>
      </c>
      <c r="AF29" s="388" t="s">
        <v>25</v>
      </c>
      <c r="AG29" s="388" t="s">
        <v>32</v>
      </c>
    </row>
    <row r="30" spans="11:33" ht="24.75" customHeight="1" thickBot="1" x14ac:dyDescent="0.3">
      <c r="K30" s="391"/>
      <c r="L30" s="391"/>
      <c r="M30" s="19" t="s">
        <v>60</v>
      </c>
      <c r="N30" s="18" t="s">
        <v>61</v>
      </c>
      <c r="O30" s="24" t="s">
        <v>27</v>
      </c>
      <c r="P30" s="24" t="s">
        <v>28</v>
      </c>
      <c r="Q30" s="24" t="s">
        <v>29</v>
      </c>
      <c r="R30" s="24" t="s">
        <v>30</v>
      </c>
      <c r="S30" s="24" t="s">
        <v>31</v>
      </c>
      <c r="T30" s="24" t="s">
        <v>25</v>
      </c>
      <c r="U30" s="24" t="s">
        <v>32</v>
      </c>
      <c r="W30" s="391"/>
      <c r="X30" s="391"/>
      <c r="Y30" s="19" t="s">
        <v>60</v>
      </c>
      <c r="Z30" s="18" t="s">
        <v>61</v>
      </c>
      <c r="AA30" s="389"/>
      <c r="AB30" s="389"/>
      <c r="AC30" s="389"/>
      <c r="AD30" s="389"/>
      <c r="AE30" s="389"/>
      <c r="AF30" s="389"/>
      <c r="AG30" s="389"/>
    </row>
    <row r="31" spans="11:33" ht="2.25" customHeight="1" thickBot="1" x14ac:dyDescent="0.3"/>
    <row r="32" spans="11:33" ht="25.5" customHeight="1" thickBot="1" x14ac:dyDescent="0.3">
      <c r="K32" s="4" t="s">
        <v>86</v>
      </c>
      <c r="L32" s="4" t="s">
        <v>53</v>
      </c>
      <c r="M32" s="14" t="s">
        <v>37</v>
      </c>
      <c r="N32" s="14" t="s">
        <v>37</v>
      </c>
      <c r="O32" s="4">
        <v>61.9</v>
      </c>
      <c r="P32" s="4">
        <v>19.8</v>
      </c>
      <c r="Q32" s="4">
        <v>31.6</v>
      </c>
      <c r="R32" s="4">
        <v>33.1</v>
      </c>
      <c r="S32" s="4">
        <v>57.2</v>
      </c>
      <c r="T32" s="4">
        <v>405</v>
      </c>
      <c r="U32" s="4">
        <v>433</v>
      </c>
      <c r="W32" s="4" t="s">
        <v>42</v>
      </c>
      <c r="X32" s="4" t="s">
        <v>53</v>
      </c>
      <c r="Y32" s="14" t="s">
        <v>37</v>
      </c>
      <c r="Z32" s="14" t="s">
        <v>37</v>
      </c>
      <c r="AA32" s="4"/>
      <c r="AB32" s="4"/>
      <c r="AC32" s="4"/>
      <c r="AD32" s="4"/>
      <c r="AE32" s="4"/>
      <c r="AF32" s="4"/>
      <c r="AG32" s="4"/>
    </row>
    <row r="33" spans="11:33" ht="15.75" thickBot="1" x14ac:dyDescent="0.3">
      <c r="K33" s="4" t="s">
        <v>46</v>
      </c>
      <c r="L33" s="4" t="s">
        <v>54</v>
      </c>
      <c r="M33" s="4" t="s">
        <v>59</v>
      </c>
      <c r="N33" s="4" t="s">
        <v>59</v>
      </c>
      <c r="O33" s="4">
        <v>140</v>
      </c>
      <c r="P33" s="4">
        <v>132</v>
      </c>
      <c r="Q33" s="4">
        <v>138</v>
      </c>
      <c r="R33" s="4">
        <v>136</v>
      </c>
      <c r="S33" s="4">
        <v>134</v>
      </c>
      <c r="T33" s="4">
        <v>65</v>
      </c>
      <c r="U33" s="4">
        <v>62</v>
      </c>
      <c r="W33" s="4" t="s">
        <v>46</v>
      </c>
      <c r="X33" s="4" t="s">
        <v>54</v>
      </c>
      <c r="Y33" s="4" t="s">
        <v>59</v>
      </c>
      <c r="Z33" s="4" t="s">
        <v>59</v>
      </c>
      <c r="AA33" s="4"/>
      <c r="AB33" s="4"/>
      <c r="AC33" s="4"/>
      <c r="AD33" s="4"/>
      <c r="AE33" s="4"/>
      <c r="AF33" s="4"/>
      <c r="AG33" s="4"/>
    </row>
    <row r="34" spans="11:33" ht="15.75" thickBot="1" x14ac:dyDescent="0.3">
      <c r="K34" s="4" t="s">
        <v>47</v>
      </c>
      <c r="L34" s="4" t="s">
        <v>54</v>
      </c>
      <c r="M34" s="4">
        <v>500</v>
      </c>
      <c r="N34" s="14" t="s">
        <v>37</v>
      </c>
      <c r="O34" s="4">
        <v>5.9</v>
      </c>
      <c r="P34" s="4">
        <v>6.9</v>
      </c>
      <c r="Q34" s="4">
        <v>3.3</v>
      </c>
      <c r="R34" s="4">
        <v>5.6</v>
      </c>
      <c r="S34" s="4">
        <v>7.9</v>
      </c>
      <c r="T34" s="4">
        <v>4.3</v>
      </c>
      <c r="U34" s="4">
        <v>4.4000000000000004</v>
      </c>
      <c r="W34" s="4" t="s">
        <v>47</v>
      </c>
      <c r="X34" s="4" t="s">
        <v>54</v>
      </c>
      <c r="Y34" s="4">
        <v>500</v>
      </c>
      <c r="Z34" s="14" t="s">
        <v>37</v>
      </c>
      <c r="AA34" s="4"/>
      <c r="AB34" s="4"/>
      <c r="AC34" s="4"/>
      <c r="AD34" s="4"/>
      <c r="AE34" s="4"/>
      <c r="AF34" s="4"/>
      <c r="AG34" s="4"/>
    </row>
    <row r="35" spans="11:33" ht="15.75" thickBot="1" x14ac:dyDescent="0.3">
      <c r="K35" s="4" t="s">
        <v>48</v>
      </c>
      <c r="L35" s="4" t="s">
        <v>54</v>
      </c>
      <c r="M35" s="4">
        <v>100</v>
      </c>
      <c r="N35" s="4">
        <v>100</v>
      </c>
      <c r="O35" s="4">
        <v>5.4</v>
      </c>
      <c r="P35" s="4">
        <v>6.5</v>
      </c>
      <c r="Q35" s="4">
        <v>5.6</v>
      </c>
      <c r="R35" s="4">
        <v>5.2</v>
      </c>
      <c r="S35" s="4">
        <v>6.5</v>
      </c>
      <c r="T35" s="4">
        <v>3.4</v>
      </c>
      <c r="U35" s="4">
        <v>4.5999999999999996</v>
      </c>
      <c r="W35" s="4" t="s">
        <v>48</v>
      </c>
      <c r="X35" s="4" t="s">
        <v>54</v>
      </c>
      <c r="Y35" s="4">
        <v>100</v>
      </c>
      <c r="Z35" s="4">
        <v>100</v>
      </c>
      <c r="AA35" s="4"/>
      <c r="AB35" s="4"/>
      <c r="AC35" s="4"/>
      <c r="AD35" s="4"/>
      <c r="AE35" s="4"/>
      <c r="AF35" s="4"/>
      <c r="AG35" s="4"/>
    </row>
    <row r="36" spans="11:33" ht="15.75" thickBot="1" x14ac:dyDescent="0.3">
      <c r="K36" s="4" t="s">
        <v>49</v>
      </c>
      <c r="L36" s="4" t="s">
        <v>54</v>
      </c>
      <c r="M36" s="4" t="s">
        <v>67</v>
      </c>
      <c r="N36" s="4" t="s">
        <v>67</v>
      </c>
      <c r="O36" s="4">
        <v>3.2</v>
      </c>
      <c r="P36" s="4">
        <v>3.3</v>
      </c>
      <c r="Q36" s="4">
        <v>2.5</v>
      </c>
      <c r="R36" s="4">
        <v>1.5</v>
      </c>
      <c r="S36" s="4">
        <v>2</v>
      </c>
      <c r="T36" s="4">
        <v>2.2000000000000002</v>
      </c>
      <c r="U36" s="4">
        <v>2</v>
      </c>
      <c r="W36" s="4" t="s">
        <v>49</v>
      </c>
      <c r="X36" s="4" t="s">
        <v>54</v>
      </c>
      <c r="Y36" s="4" t="s">
        <v>67</v>
      </c>
      <c r="Z36" s="4" t="s">
        <v>67</v>
      </c>
      <c r="AA36" s="4"/>
      <c r="AB36" s="4"/>
      <c r="AC36" s="4"/>
      <c r="AD36" s="4"/>
      <c r="AE36" s="4"/>
      <c r="AF36" s="4"/>
      <c r="AG36" s="4"/>
    </row>
    <row r="37" spans="11:33" ht="15.75" thickBot="1" x14ac:dyDescent="0.3">
      <c r="K37" s="4" t="s">
        <v>50</v>
      </c>
      <c r="L37" s="4" t="s">
        <v>54</v>
      </c>
      <c r="M37" s="4">
        <v>5</v>
      </c>
      <c r="N37" s="14" t="s">
        <v>37</v>
      </c>
      <c r="O37" s="4">
        <v>0.52200000000000002</v>
      </c>
      <c r="P37" s="4">
        <v>0.72799999999999998</v>
      </c>
      <c r="Q37" s="4">
        <v>0.44900000000000001</v>
      </c>
      <c r="R37" s="4">
        <v>0.45300000000000001</v>
      </c>
      <c r="S37" s="4">
        <v>1.0189999999999999</v>
      </c>
      <c r="T37" s="4">
        <v>1.4</v>
      </c>
      <c r="U37" s="4">
        <v>1.4</v>
      </c>
      <c r="W37" s="4" t="s">
        <v>50</v>
      </c>
      <c r="X37" s="4" t="s">
        <v>54</v>
      </c>
      <c r="Y37" s="4">
        <v>5</v>
      </c>
      <c r="Z37" s="14" t="s">
        <v>37</v>
      </c>
      <c r="AA37" s="4"/>
      <c r="AB37" s="4"/>
      <c r="AC37" s="4"/>
      <c r="AD37" s="4"/>
      <c r="AE37" s="4"/>
      <c r="AF37" s="4"/>
      <c r="AG37" s="4"/>
    </row>
    <row r="38" spans="11:33" ht="15.75" thickBot="1" x14ac:dyDescent="0.3">
      <c r="K38" s="4" t="s">
        <v>51</v>
      </c>
      <c r="L38" s="4" t="s">
        <v>54</v>
      </c>
      <c r="M38" s="4" t="s">
        <v>67</v>
      </c>
      <c r="N38" s="4" t="s">
        <v>68</v>
      </c>
      <c r="O38" s="4">
        <v>0.84</v>
      </c>
      <c r="P38" s="4">
        <v>1.58</v>
      </c>
      <c r="Q38" s="4">
        <v>1.08</v>
      </c>
      <c r="R38" s="4">
        <v>1.1100000000000001</v>
      </c>
      <c r="S38" s="4">
        <v>0.67</v>
      </c>
      <c r="T38" s="4">
        <v>0.33</v>
      </c>
      <c r="U38" s="4">
        <v>0.39</v>
      </c>
      <c r="W38" s="4" t="s">
        <v>51</v>
      </c>
      <c r="X38" s="4" t="s">
        <v>54</v>
      </c>
      <c r="Y38" s="4" t="s">
        <v>67</v>
      </c>
      <c r="Z38" s="4" t="s">
        <v>68</v>
      </c>
      <c r="AA38" s="4"/>
      <c r="AB38" s="4"/>
      <c r="AC38" s="4"/>
      <c r="AD38" s="4"/>
      <c r="AE38" s="4"/>
      <c r="AF38" s="4"/>
      <c r="AG38" s="4"/>
    </row>
    <row r="39" spans="11:33" ht="24.75" thickBot="1" x14ac:dyDescent="0.3">
      <c r="K39" s="4" t="s">
        <v>52</v>
      </c>
      <c r="L39" s="4" t="s">
        <v>54</v>
      </c>
      <c r="M39" s="4" t="s">
        <v>69</v>
      </c>
      <c r="N39" s="4">
        <v>1</v>
      </c>
      <c r="O39" s="4">
        <v>1.2999999999999999E-2</v>
      </c>
      <c r="P39" s="4">
        <v>3.7999999999999999E-2</v>
      </c>
      <c r="Q39" s="4">
        <v>2.9000000000000001E-2</v>
      </c>
      <c r="R39" s="4">
        <v>0.03</v>
      </c>
      <c r="S39" s="4">
        <v>4.2000000000000003E-2</v>
      </c>
      <c r="T39" s="4">
        <v>1.4999999999999999E-2</v>
      </c>
      <c r="U39" s="4">
        <v>2.3E-2</v>
      </c>
      <c r="W39" s="4" t="s">
        <v>52</v>
      </c>
      <c r="X39" s="4" t="s">
        <v>54</v>
      </c>
      <c r="Y39" s="4" t="s">
        <v>69</v>
      </c>
      <c r="Z39" s="4">
        <v>1</v>
      </c>
      <c r="AA39" s="4"/>
      <c r="AB39" s="4"/>
      <c r="AC39" s="4"/>
      <c r="AD39" s="4"/>
      <c r="AE39" s="4"/>
      <c r="AF39" s="4"/>
      <c r="AG39" s="4"/>
    </row>
    <row r="40" spans="11:33" ht="15.75" thickBot="1" x14ac:dyDescent="0.3">
      <c r="K40" s="4" t="s">
        <v>45</v>
      </c>
      <c r="L40" s="4" t="s">
        <v>54</v>
      </c>
      <c r="M40" s="14" t="s">
        <v>37</v>
      </c>
      <c r="N40" s="14" t="s">
        <v>37</v>
      </c>
      <c r="O40" s="4">
        <v>345</v>
      </c>
      <c r="P40" s="4">
        <v>370</v>
      </c>
      <c r="Q40" s="4">
        <v>390</v>
      </c>
      <c r="R40" s="4">
        <v>410</v>
      </c>
      <c r="S40" s="4">
        <v>370</v>
      </c>
      <c r="T40" s="4">
        <v>240</v>
      </c>
      <c r="U40" s="4">
        <v>240</v>
      </c>
      <c r="W40" s="4" t="s">
        <v>45</v>
      </c>
      <c r="X40" s="4" t="s">
        <v>54</v>
      </c>
      <c r="Y40" s="14" t="s">
        <v>37</v>
      </c>
      <c r="Z40" s="14" t="s">
        <v>37</v>
      </c>
      <c r="AA40" s="4"/>
      <c r="AB40" s="4"/>
      <c r="AC40" s="4"/>
      <c r="AD40" s="4"/>
      <c r="AE40" s="4"/>
      <c r="AF40" s="4"/>
      <c r="AG40" s="4"/>
    </row>
    <row r="41" spans="11:33" ht="24.75" thickBot="1" x14ac:dyDescent="0.3">
      <c r="K41" s="4" t="s">
        <v>129</v>
      </c>
      <c r="L41" s="4" t="s">
        <v>54</v>
      </c>
      <c r="M41" s="14">
        <v>10</v>
      </c>
      <c r="N41" s="14">
        <v>10</v>
      </c>
      <c r="O41" s="4">
        <v>11</v>
      </c>
      <c r="P41" s="4">
        <v>13</v>
      </c>
      <c r="Q41" s="4">
        <v>9</v>
      </c>
      <c r="R41" s="4">
        <v>14</v>
      </c>
      <c r="S41" s="4">
        <v>20</v>
      </c>
      <c r="T41" s="4">
        <v>14</v>
      </c>
      <c r="U41" s="4">
        <v>30</v>
      </c>
    </row>
    <row r="42" spans="11:33" ht="15.75" thickBot="1" x14ac:dyDescent="0.3">
      <c r="K42" s="4" t="s">
        <v>89</v>
      </c>
      <c r="L42" s="4" t="s">
        <v>54</v>
      </c>
      <c r="M42" s="14"/>
      <c r="N42" s="14"/>
      <c r="O42" s="14">
        <v>10</v>
      </c>
      <c r="P42" s="14">
        <v>10</v>
      </c>
      <c r="Q42" s="14">
        <v>10</v>
      </c>
      <c r="R42" s="14">
        <v>10</v>
      </c>
      <c r="S42" s="14">
        <v>10</v>
      </c>
      <c r="T42" s="14">
        <v>10</v>
      </c>
      <c r="U42" s="14">
        <v>10</v>
      </c>
    </row>
    <row r="43" spans="11:33" ht="15.75" thickBot="1" x14ac:dyDescent="0.3">
      <c r="K43" s="4" t="s">
        <v>44</v>
      </c>
      <c r="L43" s="4" t="s">
        <v>54</v>
      </c>
      <c r="M43" s="14">
        <v>2</v>
      </c>
      <c r="N43" s="14">
        <v>24</v>
      </c>
      <c r="O43" s="4">
        <v>0.13</v>
      </c>
      <c r="P43" s="4">
        <v>0.37</v>
      </c>
      <c r="Q43" s="4">
        <v>0.12</v>
      </c>
      <c r="R43" s="4">
        <v>0.1</v>
      </c>
      <c r="S43" s="4">
        <v>0.13</v>
      </c>
      <c r="T43" s="4">
        <v>0.26</v>
      </c>
      <c r="U43" s="4">
        <v>0.27</v>
      </c>
    </row>
    <row r="44" spans="11:33" ht="24.75" customHeight="1" thickBot="1" x14ac:dyDescent="0.3">
      <c r="K44" s="403"/>
      <c r="L44" s="403"/>
      <c r="M44" s="405"/>
      <c r="N44" s="405"/>
      <c r="O44" s="394"/>
      <c r="P44" s="394"/>
      <c r="Q44" s="394"/>
      <c r="R44" s="394"/>
      <c r="S44" s="394"/>
      <c r="T44" s="394"/>
      <c r="U44" s="394"/>
      <c r="W44" s="396" t="s">
        <v>72</v>
      </c>
      <c r="X44" s="397"/>
      <c r="Y44" s="397"/>
      <c r="Z44" s="397"/>
      <c r="AA44" s="397"/>
      <c r="AB44" s="397"/>
      <c r="AC44" s="397"/>
      <c r="AD44" s="397"/>
      <c r="AE44" s="397"/>
      <c r="AF44" s="397"/>
      <c r="AG44" s="397"/>
    </row>
    <row r="45" spans="11:33" ht="24.75" customHeight="1" thickBot="1" x14ac:dyDescent="0.3">
      <c r="K45" s="404"/>
      <c r="L45" s="404"/>
      <c r="M45" s="20"/>
      <c r="N45" s="21"/>
      <c r="O45" s="395"/>
      <c r="P45" s="395"/>
      <c r="Q45" s="395"/>
      <c r="R45" s="395"/>
      <c r="S45" s="395"/>
      <c r="T45" s="395"/>
      <c r="U45" s="395"/>
    </row>
    <row r="46" spans="11:33" ht="24.75" customHeight="1" thickBot="1" x14ac:dyDescent="0.3">
      <c r="W46" s="390" t="s">
        <v>34</v>
      </c>
      <c r="X46" s="390" t="s">
        <v>35</v>
      </c>
      <c r="Y46" s="392" t="s">
        <v>33</v>
      </c>
      <c r="Z46" s="393"/>
      <c r="AA46" s="388" t="s">
        <v>27</v>
      </c>
      <c r="AB46" s="388" t="s">
        <v>28</v>
      </c>
      <c r="AC46" s="388" t="s">
        <v>29</v>
      </c>
      <c r="AD46" s="388" t="s">
        <v>30</v>
      </c>
      <c r="AE46" s="388" t="s">
        <v>31</v>
      </c>
      <c r="AF46" s="388" t="s">
        <v>25</v>
      </c>
      <c r="AG46" s="388" t="s">
        <v>32</v>
      </c>
    </row>
    <row r="47" spans="11:33" ht="15.75" thickBot="1" x14ac:dyDescent="0.3">
      <c r="K47" s="12"/>
      <c r="L47" s="23"/>
      <c r="M47" s="22"/>
      <c r="N47" s="22"/>
      <c r="O47" s="12"/>
      <c r="P47" s="12"/>
      <c r="Q47" s="12"/>
      <c r="R47" s="12"/>
      <c r="S47" s="12"/>
      <c r="T47" s="12"/>
      <c r="U47" s="12"/>
      <c r="W47" s="391"/>
      <c r="X47" s="391"/>
      <c r="Y47" s="19" t="s">
        <v>60</v>
      </c>
      <c r="Z47" s="18" t="s">
        <v>61</v>
      </c>
      <c r="AA47" s="389"/>
      <c r="AB47" s="389"/>
      <c r="AC47" s="389"/>
      <c r="AD47" s="389"/>
      <c r="AE47" s="389"/>
      <c r="AF47" s="389"/>
      <c r="AG47" s="389"/>
    </row>
    <row r="48" spans="11:33" ht="15.75" thickBot="1" x14ac:dyDescent="0.3">
      <c r="K48" s="12"/>
      <c r="L48" s="23"/>
      <c r="M48" s="23"/>
      <c r="N48" s="12"/>
      <c r="O48" s="12"/>
      <c r="P48" s="12"/>
      <c r="Q48" s="12"/>
      <c r="R48" s="12"/>
      <c r="S48" s="12"/>
      <c r="T48" s="12"/>
      <c r="U48" s="12"/>
    </row>
    <row r="49" spans="11:33" ht="24.75" thickBot="1" x14ac:dyDescent="0.3">
      <c r="K49" s="12"/>
      <c r="L49" s="23"/>
      <c r="M49" s="23"/>
      <c r="N49" s="22"/>
      <c r="O49" s="12"/>
      <c r="P49" s="12"/>
      <c r="Q49" s="12"/>
      <c r="R49" s="12"/>
      <c r="S49" s="12"/>
      <c r="T49" s="12"/>
      <c r="U49" s="12"/>
      <c r="W49" s="4" t="s">
        <v>57</v>
      </c>
      <c r="X49" s="15" t="s">
        <v>58</v>
      </c>
      <c r="Y49" s="14" t="s">
        <v>37</v>
      </c>
      <c r="Z49" s="14" t="s">
        <v>37</v>
      </c>
      <c r="AA49" s="4"/>
      <c r="AB49" s="4"/>
      <c r="AC49" s="4"/>
      <c r="AD49" s="4"/>
      <c r="AE49" s="4"/>
      <c r="AF49" s="4"/>
      <c r="AG49" s="4"/>
    </row>
    <row r="50" spans="11:33" ht="24.75" thickBot="1" x14ac:dyDescent="0.3">
      <c r="W50" s="4" t="s">
        <v>55</v>
      </c>
      <c r="X50" s="15" t="s">
        <v>58</v>
      </c>
      <c r="Y50" s="15" t="s">
        <v>59</v>
      </c>
      <c r="Z50" s="4" t="s">
        <v>59</v>
      </c>
      <c r="AA50" s="4"/>
      <c r="AB50" s="4"/>
      <c r="AC50" s="4"/>
      <c r="AD50" s="4"/>
      <c r="AE50" s="4"/>
      <c r="AF50" s="4"/>
      <c r="AG50" s="4"/>
    </row>
    <row r="51" spans="11:33" ht="23.25" thickBot="1" x14ac:dyDescent="0.3">
      <c r="W51" s="4" t="s">
        <v>56</v>
      </c>
      <c r="X51" s="15" t="s">
        <v>58</v>
      </c>
      <c r="Y51" s="15" t="s">
        <v>59</v>
      </c>
      <c r="Z51" s="14" t="s">
        <v>37</v>
      </c>
      <c r="AA51" s="4"/>
      <c r="AB51" s="4"/>
      <c r="AC51" s="4"/>
      <c r="AD51" s="4"/>
      <c r="AE51" s="4"/>
      <c r="AF51" s="4"/>
      <c r="AG51" s="4"/>
    </row>
  </sheetData>
  <mergeCells count="81">
    <mergeCell ref="I4:I5"/>
    <mergeCell ref="B2:I2"/>
    <mergeCell ref="B4:B5"/>
    <mergeCell ref="D4:D5"/>
    <mergeCell ref="E4:E5"/>
    <mergeCell ref="F4:G4"/>
    <mergeCell ref="H4:H5"/>
    <mergeCell ref="L2:U2"/>
    <mergeCell ref="L4:L5"/>
    <mergeCell ref="N4:N5"/>
    <mergeCell ref="O4:O5"/>
    <mergeCell ref="P4:P5"/>
    <mergeCell ref="S4:S5"/>
    <mergeCell ref="U4:U5"/>
    <mergeCell ref="P19:P20"/>
    <mergeCell ref="O19:O20"/>
    <mergeCell ref="K29:K30"/>
    <mergeCell ref="L29:L30"/>
    <mergeCell ref="Q4:Q5"/>
    <mergeCell ref="K17:U17"/>
    <mergeCell ref="K27:U27"/>
    <mergeCell ref="K19:K20"/>
    <mergeCell ref="L19:L20"/>
    <mergeCell ref="Q19:Q20"/>
    <mergeCell ref="W17:AG17"/>
    <mergeCell ref="W19:W20"/>
    <mergeCell ref="X19:X20"/>
    <mergeCell ref="Y19:Z19"/>
    <mergeCell ref="K44:K45"/>
    <mergeCell ref="L44:L45"/>
    <mergeCell ref="O44:O45"/>
    <mergeCell ref="P44:P45"/>
    <mergeCell ref="Q44:Q45"/>
    <mergeCell ref="M19:N19"/>
    <mergeCell ref="M29:N29"/>
    <mergeCell ref="M44:N44"/>
    <mergeCell ref="U19:U20"/>
    <mergeCell ref="T19:T20"/>
    <mergeCell ref="S19:S20"/>
    <mergeCell ref="R19:R20"/>
    <mergeCell ref="X2:AG2"/>
    <mergeCell ref="X4:X5"/>
    <mergeCell ref="Z4:Z5"/>
    <mergeCell ref="AA4:AA5"/>
    <mergeCell ref="AB4:AB5"/>
    <mergeCell ref="AC4:AC5"/>
    <mergeCell ref="AE4:AE5"/>
    <mergeCell ref="AG4:AG5"/>
    <mergeCell ref="AC19:AC20"/>
    <mergeCell ref="AD19:AD20"/>
    <mergeCell ref="AE19:AE20"/>
    <mergeCell ref="R44:R45"/>
    <mergeCell ref="S44:S45"/>
    <mergeCell ref="T44:T45"/>
    <mergeCell ref="U44:U45"/>
    <mergeCell ref="W44:AG44"/>
    <mergeCell ref="AF19:AF20"/>
    <mergeCell ref="AG19:AG20"/>
    <mergeCell ref="W27:AG27"/>
    <mergeCell ref="W29:W30"/>
    <mergeCell ref="X29:X30"/>
    <mergeCell ref="Y29:Z29"/>
    <mergeCell ref="AA29:AA30"/>
    <mergeCell ref="AB29:AB30"/>
    <mergeCell ref="AC29:AC30"/>
    <mergeCell ref="AD29:AD30"/>
    <mergeCell ref="AE29:AE30"/>
    <mergeCell ref="AF29:AF30"/>
    <mergeCell ref="AG29:AG30"/>
    <mergeCell ref="AA19:AA20"/>
    <mergeCell ref="AB19:AB20"/>
    <mergeCell ref="W46:W47"/>
    <mergeCell ref="X46:X47"/>
    <mergeCell ref="Y46:Z46"/>
    <mergeCell ref="AA46:AA47"/>
    <mergeCell ref="AB46:AB47"/>
    <mergeCell ref="AD46:AD47"/>
    <mergeCell ref="AE46:AE47"/>
    <mergeCell ref="AF46:AF47"/>
    <mergeCell ref="AG46:AG47"/>
    <mergeCell ref="AC46:AC4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P42"/>
  <sheetViews>
    <sheetView showGridLines="0" zoomScale="50" zoomScaleNormal="50" workbookViewId="0">
      <selection activeCell="AF42" sqref="AF42"/>
    </sheetView>
  </sheetViews>
  <sheetFormatPr baseColWidth="10" defaultRowHeight="15" x14ac:dyDescent="0.25"/>
  <sheetData>
    <row r="42" spans="16:16" x14ac:dyDescent="0.25">
      <c r="P42" s="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40"/>
  <sheetViews>
    <sheetView showGridLines="0" tabSelected="1" view="pageBreakPreview" zoomScale="70" zoomScaleNormal="145" zoomScaleSheetLayoutView="70" workbookViewId="0">
      <selection activeCell="W13" sqref="W13"/>
    </sheetView>
  </sheetViews>
  <sheetFormatPr baseColWidth="10" defaultColWidth="11.42578125" defaultRowHeight="15" x14ac:dyDescent="0.25"/>
  <cols>
    <col min="2" max="2" width="15.7109375" customWidth="1"/>
    <col min="3" max="3" width="10.28515625" customWidth="1"/>
    <col min="4" max="4" width="10.42578125" customWidth="1"/>
    <col min="5" max="5" width="11.28515625" customWidth="1"/>
    <col min="6" max="6" width="8.42578125" customWidth="1"/>
    <col min="7" max="7" width="7.5703125" customWidth="1"/>
    <col min="8" max="8" width="7.7109375" customWidth="1"/>
    <col min="9" max="9" width="9.28515625" customWidth="1"/>
    <col min="10" max="10" width="8.85546875" customWidth="1"/>
    <col min="11" max="11" width="7.140625" customWidth="1"/>
    <col min="12" max="12" width="21.140625" customWidth="1"/>
  </cols>
  <sheetData>
    <row r="1" spans="2:14" ht="6" customHeight="1" x14ac:dyDescent="0.25"/>
    <row r="2" spans="2:14" ht="6" customHeight="1" x14ac:dyDescent="0.25"/>
    <row r="3" spans="2:14" ht="6.75" customHeight="1" x14ac:dyDescent="0.25"/>
    <row r="4" spans="2:14" ht="37.5" customHeight="1" x14ac:dyDescent="0.25">
      <c r="B4" s="380" t="s">
        <v>375</v>
      </c>
      <c r="C4" s="381"/>
      <c r="D4" s="381"/>
      <c r="E4" s="381"/>
      <c r="F4" s="381"/>
      <c r="G4" s="381"/>
      <c r="H4" s="381"/>
      <c r="I4" s="381"/>
      <c r="J4" s="381"/>
      <c r="K4" s="381"/>
      <c r="L4" s="381"/>
    </row>
    <row r="5" spans="2:14" ht="2.25" customHeight="1" thickBot="1" x14ac:dyDescent="0.3"/>
    <row r="6" spans="2:14" ht="24.75" customHeight="1" thickBot="1" x14ac:dyDescent="0.3">
      <c r="B6" s="382" t="s">
        <v>34</v>
      </c>
      <c r="C6" s="382" t="s">
        <v>296</v>
      </c>
      <c r="D6" s="384" t="s">
        <v>33</v>
      </c>
      <c r="E6" s="384"/>
      <c r="F6" s="385" t="s">
        <v>137</v>
      </c>
      <c r="G6" s="386"/>
      <c r="H6" s="386"/>
      <c r="I6" s="386"/>
      <c r="J6" s="386"/>
      <c r="K6" s="386"/>
      <c r="L6" s="387"/>
    </row>
    <row r="7" spans="2:14" ht="29.25" customHeight="1" thickBot="1" x14ac:dyDescent="0.3">
      <c r="B7" s="383"/>
      <c r="C7" s="383"/>
      <c r="D7" s="347" t="s">
        <v>298</v>
      </c>
      <c r="E7" s="348" t="s">
        <v>297</v>
      </c>
      <c r="F7" s="349" t="s">
        <v>27</v>
      </c>
      <c r="G7" s="349" t="s">
        <v>28</v>
      </c>
      <c r="H7" s="349" t="s">
        <v>29</v>
      </c>
      <c r="I7" s="349" t="s">
        <v>30</v>
      </c>
      <c r="J7" s="349" t="s">
        <v>31</v>
      </c>
      <c r="K7" s="349" t="s">
        <v>25</v>
      </c>
      <c r="L7" s="349" t="s">
        <v>32</v>
      </c>
    </row>
    <row r="8" spans="2:14" ht="3" customHeight="1" x14ac:dyDescent="0.25"/>
    <row r="9" spans="2:14" ht="15.75" customHeight="1" thickBot="1" x14ac:dyDescent="0.3">
      <c r="B9" s="379" t="s">
        <v>295</v>
      </c>
      <c r="C9" s="379"/>
      <c r="D9" s="379"/>
      <c r="E9" s="379"/>
      <c r="F9" s="379"/>
      <c r="G9" s="379"/>
      <c r="H9" s="379"/>
      <c r="I9" s="379"/>
      <c r="J9" s="379"/>
      <c r="K9" s="379"/>
      <c r="L9" s="379"/>
      <c r="M9" s="232" t="s">
        <v>372</v>
      </c>
      <c r="N9" s="232" t="s">
        <v>373</v>
      </c>
    </row>
    <row r="10" spans="2:14" ht="24.75" thickBot="1" x14ac:dyDescent="0.3">
      <c r="B10" s="365" t="s">
        <v>41</v>
      </c>
      <c r="C10" s="365" t="s">
        <v>64</v>
      </c>
      <c r="D10" s="365" t="s">
        <v>62</v>
      </c>
      <c r="E10" s="365" t="s">
        <v>63</v>
      </c>
      <c r="F10" s="354">
        <v>3330</v>
      </c>
      <c r="G10" s="355">
        <v>2330</v>
      </c>
      <c r="H10" s="354">
        <v>2950</v>
      </c>
      <c r="I10" s="354">
        <v>2730</v>
      </c>
      <c r="J10" s="354">
        <v>2147</v>
      </c>
      <c r="K10" s="353">
        <v>222</v>
      </c>
      <c r="L10" s="353">
        <v>221</v>
      </c>
      <c r="M10" s="350">
        <f>MAX(F10:L10)</f>
        <v>3330</v>
      </c>
      <c r="N10" s="350">
        <f>MIN(F10:L10)</f>
        <v>221</v>
      </c>
    </row>
    <row r="11" spans="2:14" ht="15.75" thickBot="1" x14ac:dyDescent="0.3">
      <c r="B11" s="365" t="s">
        <v>23</v>
      </c>
      <c r="C11" s="366" t="s">
        <v>37</v>
      </c>
      <c r="D11" s="366" t="s">
        <v>65</v>
      </c>
      <c r="E11" s="365" t="s">
        <v>66</v>
      </c>
      <c r="F11" s="356">
        <v>6.74</v>
      </c>
      <c r="G11" s="356">
        <v>6.8</v>
      </c>
      <c r="H11" s="356">
        <v>6.8</v>
      </c>
      <c r="I11" s="356">
        <v>6.3</v>
      </c>
      <c r="J11" s="356">
        <v>6.5</v>
      </c>
      <c r="K11" s="356">
        <v>7.8</v>
      </c>
      <c r="L11" s="356">
        <v>7.5</v>
      </c>
      <c r="M11" s="351">
        <f t="shared" ref="M11:M28" si="0">MAX(F11:L11)</f>
        <v>7.8</v>
      </c>
      <c r="N11" s="351">
        <f t="shared" ref="N11:N28" si="1">MIN(F11:L11)</f>
        <v>6.3</v>
      </c>
    </row>
    <row r="12" spans="2:14" ht="24.75" thickBot="1" x14ac:dyDescent="0.3">
      <c r="B12" s="365" t="s">
        <v>38</v>
      </c>
      <c r="C12" s="365" t="s">
        <v>24</v>
      </c>
      <c r="D12" s="366" t="s">
        <v>37</v>
      </c>
      <c r="E12" s="366" t="s">
        <v>37</v>
      </c>
      <c r="F12" s="354">
        <v>1559</v>
      </c>
      <c r="G12" s="354">
        <v>1103</v>
      </c>
      <c r="H12" s="354">
        <v>1406</v>
      </c>
      <c r="I12" s="354">
        <v>1310</v>
      </c>
      <c r="J12" s="354">
        <v>1045</v>
      </c>
      <c r="K12" s="370">
        <v>107.5</v>
      </c>
      <c r="L12" s="353">
        <v>107.8</v>
      </c>
      <c r="M12" s="350">
        <f t="shared" si="0"/>
        <v>1559</v>
      </c>
      <c r="N12" s="350">
        <f t="shared" si="1"/>
        <v>107.5</v>
      </c>
    </row>
    <row r="13" spans="2:14" ht="15.75" thickBot="1" x14ac:dyDescent="0.3">
      <c r="B13" s="365" t="s">
        <v>39</v>
      </c>
      <c r="C13" s="365" t="s">
        <v>40</v>
      </c>
      <c r="D13" s="366" t="s">
        <v>37</v>
      </c>
      <c r="E13" s="366" t="s">
        <v>37</v>
      </c>
      <c r="F13" s="353">
        <v>29.7</v>
      </c>
      <c r="G13" s="353">
        <v>28.5</v>
      </c>
      <c r="H13" s="353">
        <v>28.4</v>
      </c>
      <c r="I13" s="353">
        <v>27.9</v>
      </c>
      <c r="J13" s="353">
        <v>27.6</v>
      </c>
      <c r="K13" s="353">
        <v>24.1</v>
      </c>
      <c r="L13" s="353">
        <v>26.7</v>
      </c>
      <c r="M13" s="350">
        <f t="shared" si="0"/>
        <v>29.7</v>
      </c>
      <c r="N13" s="350">
        <f t="shared" si="1"/>
        <v>24.1</v>
      </c>
    </row>
    <row r="14" spans="2:14" ht="15.75" thickBot="1" x14ac:dyDescent="0.3">
      <c r="B14" s="365" t="s">
        <v>327</v>
      </c>
      <c r="C14" s="365" t="s">
        <v>53</v>
      </c>
      <c r="D14" s="366" t="s">
        <v>37</v>
      </c>
      <c r="E14" s="366" t="s">
        <v>37</v>
      </c>
      <c r="F14" s="353">
        <v>2.96</v>
      </c>
      <c r="G14" s="353">
        <v>6.49</v>
      </c>
      <c r="H14" s="353">
        <v>5.52</v>
      </c>
      <c r="I14" s="353">
        <v>6.2</v>
      </c>
      <c r="J14" s="353">
        <v>16.7</v>
      </c>
      <c r="K14" s="353">
        <v>17.8</v>
      </c>
      <c r="L14" s="353">
        <v>578</v>
      </c>
      <c r="M14" s="350"/>
      <c r="N14" s="350"/>
    </row>
    <row r="15" spans="2:14" ht="15.75" customHeight="1" thickBot="1" x14ac:dyDescent="0.3">
      <c r="B15" s="379" t="s">
        <v>294</v>
      </c>
      <c r="C15" s="379"/>
      <c r="D15" s="379"/>
      <c r="E15" s="379"/>
      <c r="F15" s="379"/>
      <c r="G15" s="379"/>
      <c r="H15" s="379"/>
      <c r="I15" s="379"/>
      <c r="J15" s="379"/>
      <c r="K15" s="379"/>
      <c r="L15" s="379"/>
      <c r="M15" s="350">
        <f t="shared" si="0"/>
        <v>0</v>
      </c>
      <c r="N15" s="350">
        <f t="shared" si="1"/>
        <v>0</v>
      </c>
    </row>
    <row r="16" spans="2:14" ht="1.5" customHeight="1" thickBot="1" x14ac:dyDescent="0.3">
      <c r="M16" s="350">
        <f t="shared" si="0"/>
        <v>0</v>
      </c>
      <c r="N16" s="350">
        <f t="shared" si="1"/>
        <v>0</v>
      </c>
    </row>
    <row r="17" spans="2:14" ht="15.75" thickBot="1" x14ac:dyDescent="0.3">
      <c r="B17" s="367" t="s">
        <v>326</v>
      </c>
      <c r="C17" s="367" t="s">
        <v>54</v>
      </c>
      <c r="D17" s="367">
        <v>100</v>
      </c>
      <c r="E17" s="367">
        <v>100</v>
      </c>
      <c r="F17" s="356">
        <v>3.5</v>
      </c>
      <c r="G17" s="356">
        <v>3.1</v>
      </c>
      <c r="H17" s="356">
        <v>10.5</v>
      </c>
      <c r="I17" s="356">
        <v>3.8</v>
      </c>
      <c r="J17" s="356">
        <v>3.8</v>
      </c>
      <c r="K17" s="356">
        <v>10.9</v>
      </c>
      <c r="L17" s="356">
        <v>13.8</v>
      </c>
      <c r="M17" s="352">
        <f t="shared" si="0"/>
        <v>13.8</v>
      </c>
      <c r="N17" s="352">
        <f t="shared" si="1"/>
        <v>3.1</v>
      </c>
    </row>
    <row r="18" spans="2:14" ht="15.75" hidden="1" thickBot="1" x14ac:dyDescent="0.3">
      <c r="B18" s="367" t="s">
        <v>374</v>
      </c>
      <c r="C18" s="367" t="s">
        <v>54</v>
      </c>
      <c r="D18" s="367">
        <v>10</v>
      </c>
      <c r="E18" s="368">
        <v>10</v>
      </c>
      <c r="F18" s="356">
        <v>6</v>
      </c>
      <c r="G18" s="356">
        <v>9</v>
      </c>
      <c r="H18" s="356">
        <v>7</v>
      </c>
      <c r="I18" s="356">
        <v>8</v>
      </c>
      <c r="J18" s="356">
        <v>7</v>
      </c>
      <c r="K18" s="358">
        <v>11</v>
      </c>
      <c r="L18" s="358">
        <v>14</v>
      </c>
      <c r="M18" s="352">
        <f t="shared" si="0"/>
        <v>14</v>
      </c>
      <c r="N18" s="352">
        <f t="shared" si="1"/>
        <v>6</v>
      </c>
    </row>
    <row r="19" spans="2:14" ht="24.75" hidden="1" thickBot="1" x14ac:dyDescent="0.3">
      <c r="B19" s="367" t="s">
        <v>333</v>
      </c>
      <c r="C19" s="367" t="s">
        <v>54</v>
      </c>
      <c r="D19" s="367" t="s">
        <v>69</v>
      </c>
      <c r="E19" s="367">
        <v>1</v>
      </c>
      <c r="F19" s="360">
        <v>0.1</v>
      </c>
      <c r="G19" s="360">
        <v>8.5000000000000006E-2</v>
      </c>
      <c r="H19" s="361">
        <v>1.4999999999999999E-2</v>
      </c>
      <c r="I19" s="362">
        <v>0.02</v>
      </c>
      <c r="J19" s="360">
        <v>8.4000000000000005E-2</v>
      </c>
      <c r="K19" s="362">
        <v>0.03</v>
      </c>
      <c r="L19" s="360">
        <v>8.5000000000000006E-2</v>
      </c>
      <c r="M19" s="352">
        <f t="shared" si="0"/>
        <v>0.1</v>
      </c>
      <c r="N19" s="352">
        <f t="shared" si="1"/>
        <v>1.4999999999999999E-2</v>
      </c>
    </row>
    <row r="20" spans="2:14" ht="15.75" hidden="1" thickBot="1" x14ac:dyDescent="0.3">
      <c r="B20" s="367" t="s">
        <v>51</v>
      </c>
      <c r="C20" s="367" t="s">
        <v>54</v>
      </c>
      <c r="D20" s="367" t="s">
        <v>67</v>
      </c>
      <c r="E20" s="367" t="s">
        <v>68</v>
      </c>
      <c r="F20" s="358">
        <v>1.08</v>
      </c>
      <c r="G20" s="358">
        <v>1.36</v>
      </c>
      <c r="H20" s="358">
        <v>1.1200000000000001</v>
      </c>
      <c r="I20" s="358">
        <v>1.34</v>
      </c>
      <c r="J20" s="358">
        <v>1.88</v>
      </c>
      <c r="K20" s="358">
        <v>0.27</v>
      </c>
      <c r="L20" s="358">
        <v>0.38</v>
      </c>
      <c r="M20" s="352">
        <f t="shared" si="0"/>
        <v>1.88</v>
      </c>
      <c r="N20" s="352">
        <f t="shared" si="1"/>
        <v>0.27</v>
      </c>
    </row>
    <row r="21" spans="2:14" ht="15.75" hidden="1" thickBot="1" x14ac:dyDescent="0.3">
      <c r="B21" s="367" t="s">
        <v>49</v>
      </c>
      <c r="C21" s="367" t="s">
        <v>54</v>
      </c>
      <c r="D21" s="367" t="s">
        <v>67</v>
      </c>
      <c r="E21" s="367" t="s">
        <v>67</v>
      </c>
      <c r="F21" s="359">
        <v>0.7</v>
      </c>
      <c r="G21" s="359">
        <v>6</v>
      </c>
      <c r="H21" s="359">
        <v>0.6</v>
      </c>
      <c r="I21" s="359">
        <v>0.4</v>
      </c>
      <c r="J21" s="359">
        <v>0.5</v>
      </c>
      <c r="K21" s="359">
        <v>0.9</v>
      </c>
      <c r="L21" s="359">
        <v>0.8</v>
      </c>
      <c r="M21" s="352">
        <f t="shared" si="0"/>
        <v>6</v>
      </c>
      <c r="N21" s="352">
        <f t="shared" si="1"/>
        <v>0.4</v>
      </c>
    </row>
    <row r="22" spans="2:14" ht="15.75" thickBot="1" x14ac:dyDescent="0.3">
      <c r="B22" s="367" t="s">
        <v>46</v>
      </c>
      <c r="C22" s="367" t="s">
        <v>54</v>
      </c>
      <c r="D22" s="367" t="s">
        <v>59</v>
      </c>
      <c r="E22" s="367" t="s">
        <v>59</v>
      </c>
      <c r="F22" s="357">
        <f>9*42</f>
        <v>378</v>
      </c>
      <c r="G22" s="357">
        <f>9*29</f>
        <v>261</v>
      </c>
      <c r="H22" s="357">
        <f>9*42</f>
        <v>378</v>
      </c>
      <c r="I22" s="357">
        <f>9*30</f>
        <v>270</v>
      </c>
      <c r="J22" s="357">
        <f>9*32</f>
        <v>288</v>
      </c>
      <c r="K22" s="357">
        <f>9*11</f>
        <v>99</v>
      </c>
      <c r="L22" s="357">
        <f>9*20</f>
        <v>180</v>
      </c>
      <c r="M22" s="352">
        <f t="shared" si="0"/>
        <v>378</v>
      </c>
      <c r="N22" s="352">
        <f t="shared" si="1"/>
        <v>99</v>
      </c>
    </row>
    <row r="23" spans="2:14" ht="15.75" hidden="1" thickBot="1" x14ac:dyDescent="0.3">
      <c r="B23" s="367" t="s">
        <v>50</v>
      </c>
      <c r="C23" s="367" t="s">
        <v>54</v>
      </c>
      <c r="D23" s="367">
        <v>5</v>
      </c>
      <c r="E23" s="368" t="s">
        <v>37</v>
      </c>
      <c r="F23" s="360">
        <v>0.24199999999999999</v>
      </c>
      <c r="G23" s="360">
        <v>0.372</v>
      </c>
      <c r="H23" s="360">
        <v>0.35899999999999999</v>
      </c>
      <c r="I23" s="360">
        <v>0.39</v>
      </c>
      <c r="J23" s="360">
        <v>0.378</v>
      </c>
      <c r="K23" s="360">
        <v>0.249</v>
      </c>
      <c r="L23" s="360">
        <v>0.23899999999999999</v>
      </c>
      <c r="M23" s="352">
        <f t="shared" si="0"/>
        <v>0.39</v>
      </c>
      <c r="N23" s="352">
        <f t="shared" si="1"/>
        <v>0.23899999999999999</v>
      </c>
    </row>
    <row r="24" spans="2:14" ht="15.75" hidden="1" customHeight="1" thickBot="1" x14ac:dyDescent="0.3">
      <c r="B24" s="367" t="s">
        <v>334</v>
      </c>
      <c r="C24" s="367" t="s">
        <v>54</v>
      </c>
      <c r="D24" s="367">
        <v>2</v>
      </c>
      <c r="E24" s="367">
        <v>24</v>
      </c>
      <c r="F24" s="357">
        <v>0.16</v>
      </c>
      <c r="G24" s="357">
        <v>0.1</v>
      </c>
      <c r="H24" s="357">
        <v>0.24</v>
      </c>
      <c r="I24" s="357">
        <v>0.1</v>
      </c>
      <c r="J24" s="357">
        <v>0.11</v>
      </c>
      <c r="K24" s="357">
        <v>0.11</v>
      </c>
      <c r="L24" s="357">
        <v>0.15</v>
      </c>
      <c r="M24" s="352">
        <f t="shared" si="0"/>
        <v>0.24</v>
      </c>
      <c r="N24" s="352">
        <f t="shared" si="1"/>
        <v>0.1</v>
      </c>
    </row>
    <row r="25" spans="2:14" ht="15.75" customHeight="1" thickBot="1" x14ac:dyDescent="0.3">
      <c r="B25" s="379" t="s">
        <v>293</v>
      </c>
      <c r="C25" s="379"/>
      <c r="D25" s="379"/>
      <c r="E25" s="379"/>
      <c r="F25" s="379"/>
      <c r="G25" s="379"/>
      <c r="H25" s="379"/>
      <c r="I25" s="379"/>
      <c r="J25" s="379"/>
      <c r="K25" s="379"/>
      <c r="L25" s="379"/>
      <c r="M25" s="350">
        <f t="shared" si="0"/>
        <v>0</v>
      </c>
      <c r="N25" s="350">
        <f t="shared" si="1"/>
        <v>0</v>
      </c>
    </row>
    <row r="26" spans="2:14" ht="1.5" customHeight="1" thickBot="1" x14ac:dyDescent="0.3">
      <c r="M26" s="350">
        <f t="shared" si="0"/>
        <v>0</v>
      </c>
      <c r="N26" s="350">
        <f t="shared" si="1"/>
        <v>0</v>
      </c>
    </row>
    <row r="27" spans="2:14" ht="24.75" thickBot="1" x14ac:dyDescent="0.3">
      <c r="B27" s="367" t="s">
        <v>57</v>
      </c>
      <c r="C27" s="367" t="s">
        <v>58</v>
      </c>
      <c r="D27" s="368" t="s">
        <v>37</v>
      </c>
      <c r="E27" s="368" t="s">
        <v>37</v>
      </c>
      <c r="F27" s="364">
        <v>1100</v>
      </c>
      <c r="G27" s="364">
        <v>1100</v>
      </c>
      <c r="H27" s="364">
        <v>1100</v>
      </c>
      <c r="I27" s="364">
        <v>1100</v>
      </c>
      <c r="J27" s="363">
        <v>460</v>
      </c>
      <c r="K27" s="363">
        <v>460</v>
      </c>
      <c r="L27" s="363">
        <v>240</v>
      </c>
      <c r="M27" s="350">
        <f t="shared" si="0"/>
        <v>1100</v>
      </c>
      <c r="N27" s="350">
        <f t="shared" si="1"/>
        <v>240</v>
      </c>
    </row>
    <row r="28" spans="2:14" ht="24.75" thickBot="1" x14ac:dyDescent="0.3">
      <c r="B28" s="367" t="s">
        <v>55</v>
      </c>
      <c r="C28" s="367" t="s">
        <v>58</v>
      </c>
      <c r="D28" s="367" t="s">
        <v>59</v>
      </c>
      <c r="E28" s="367" t="s">
        <v>59</v>
      </c>
      <c r="F28" s="364">
        <v>1100</v>
      </c>
      <c r="G28" s="364">
        <v>1100</v>
      </c>
      <c r="H28" s="364">
        <v>1100</v>
      </c>
      <c r="I28" s="363">
        <v>460</v>
      </c>
      <c r="J28" s="363">
        <v>460</v>
      </c>
      <c r="K28" s="363">
        <v>460</v>
      </c>
      <c r="L28" s="363">
        <v>240</v>
      </c>
      <c r="M28" s="350">
        <f t="shared" si="0"/>
        <v>1100</v>
      </c>
      <c r="N28" s="350">
        <f t="shared" si="1"/>
        <v>240</v>
      </c>
    </row>
    <row r="30" spans="2:14" ht="15.75" thickBot="1" x14ac:dyDescent="0.3">
      <c r="B30" s="26"/>
      <c r="C30" s="26"/>
    </row>
    <row r="31" spans="2:14" ht="15.75" thickBot="1" x14ac:dyDescent="0.3">
      <c r="B31" s="357" t="s">
        <v>89</v>
      </c>
      <c r="C31" s="357" t="s">
        <v>54</v>
      </c>
      <c r="D31" s="369"/>
      <c r="E31" s="369"/>
      <c r="F31" s="367">
        <v>1000</v>
      </c>
      <c r="G31" s="367">
        <v>1000</v>
      </c>
      <c r="H31" s="367">
        <v>1000</v>
      </c>
      <c r="I31" s="367">
        <v>1000</v>
      </c>
      <c r="J31" s="367">
        <v>1000</v>
      </c>
      <c r="K31" s="367">
        <v>1000</v>
      </c>
      <c r="L31" s="367">
        <v>1000</v>
      </c>
    </row>
    <row r="32" spans="2:14" ht="15.75" thickBot="1" x14ac:dyDescent="0.3">
      <c r="B32" s="357" t="s">
        <v>89</v>
      </c>
      <c r="C32" s="357" t="s">
        <v>54</v>
      </c>
      <c r="D32" s="369"/>
      <c r="E32" s="369"/>
      <c r="F32" s="367">
        <v>100</v>
      </c>
      <c r="G32" s="367">
        <v>100</v>
      </c>
      <c r="H32" s="367">
        <v>100</v>
      </c>
      <c r="I32" s="367">
        <v>100</v>
      </c>
      <c r="J32" s="367">
        <v>100</v>
      </c>
      <c r="K32" s="367">
        <v>100</v>
      </c>
      <c r="L32" s="367">
        <v>100</v>
      </c>
    </row>
    <row r="33" spans="2:12" ht="24.75" thickBot="1" x14ac:dyDescent="0.3">
      <c r="B33" s="357" t="s">
        <v>125</v>
      </c>
      <c r="C33" s="357" t="s">
        <v>54</v>
      </c>
      <c r="D33" s="369"/>
      <c r="E33" s="369"/>
      <c r="F33" s="367">
        <v>0.2</v>
      </c>
      <c r="G33" s="367">
        <v>0.2</v>
      </c>
      <c r="H33" s="367">
        <v>0.2</v>
      </c>
      <c r="I33" s="367">
        <v>0.2</v>
      </c>
      <c r="J33" s="367">
        <v>0.2</v>
      </c>
      <c r="K33" s="367">
        <v>0.2</v>
      </c>
      <c r="L33" s="367">
        <v>0.2</v>
      </c>
    </row>
    <row r="34" spans="2:12" ht="24.75" thickBot="1" x14ac:dyDescent="0.3">
      <c r="B34" s="357" t="s">
        <v>126</v>
      </c>
      <c r="C34" s="357" t="s">
        <v>54</v>
      </c>
      <c r="D34" s="369"/>
      <c r="E34" s="369"/>
      <c r="F34" s="367">
        <v>0.5</v>
      </c>
      <c r="G34" s="367">
        <v>0.5</v>
      </c>
      <c r="H34" s="367">
        <v>0.5</v>
      </c>
      <c r="I34" s="367">
        <v>0.5</v>
      </c>
      <c r="J34" s="367">
        <v>0.5</v>
      </c>
      <c r="K34" s="367">
        <v>0.5</v>
      </c>
      <c r="L34" s="367">
        <v>0.5</v>
      </c>
    </row>
    <row r="35" spans="2:12" ht="24.75" thickBot="1" x14ac:dyDescent="0.3">
      <c r="B35" s="357" t="s">
        <v>125</v>
      </c>
      <c r="C35" s="357" t="s">
        <v>54</v>
      </c>
      <c r="D35" s="369"/>
      <c r="E35" s="369"/>
      <c r="F35" s="367">
        <v>500</v>
      </c>
      <c r="G35" s="367">
        <v>500</v>
      </c>
      <c r="H35" s="367">
        <v>500</v>
      </c>
      <c r="I35" s="367">
        <v>500</v>
      </c>
      <c r="J35" s="367">
        <v>500</v>
      </c>
      <c r="K35" s="367">
        <v>500</v>
      </c>
      <c r="L35" s="367">
        <v>500</v>
      </c>
    </row>
    <row r="36" spans="2:12" ht="36.75" thickBot="1" x14ac:dyDescent="0.3">
      <c r="B36" s="357" t="s">
        <v>336</v>
      </c>
      <c r="C36" s="357" t="s">
        <v>54</v>
      </c>
      <c r="D36" s="369"/>
      <c r="E36" s="369"/>
      <c r="F36" s="367">
        <v>0.2</v>
      </c>
      <c r="G36" s="367">
        <v>0.2</v>
      </c>
      <c r="H36" s="367">
        <v>0.2</v>
      </c>
      <c r="I36" s="367">
        <v>0.2</v>
      </c>
      <c r="J36" s="367">
        <v>0.2</v>
      </c>
      <c r="K36" s="367">
        <v>0.2</v>
      </c>
      <c r="L36" s="367">
        <v>0.2</v>
      </c>
    </row>
    <row r="37" spans="2:12" ht="36.75" thickBot="1" x14ac:dyDescent="0.3">
      <c r="B37" s="357" t="s">
        <v>336</v>
      </c>
      <c r="C37" s="357" t="s">
        <v>54</v>
      </c>
      <c r="D37" s="369"/>
      <c r="E37" s="369"/>
      <c r="F37" s="367">
        <v>10</v>
      </c>
      <c r="G37" s="367">
        <v>10</v>
      </c>
      <c r="H37" s="367">
        <v>10</v>
      </c>
      <c r="I37" s="367">
        <v>10</v>
      </c>
      <c r="J37" s="367">
        <v>10</v>
      </c>
      <c r="K37" s="367">
        <v>10</v>
      </c>
      <c r="L37" s="367">
        <v>10</v>
      </c>
    </row>
    <row r="38" spans="2:12" ht="24.75" thickBot="1" x14ac:dyDescent="0.3">
      <c r="B38" s="357" t="s">
        <v>125</v>
      </c>
      <c r="C38" s="357" t="s">
        <v>54</v>
      </c>
      <c r="D38" s="369"/>
      <c r="E38" s="369"/>
      <c r="F38" s="367">
        <v>5</v>
      </c>
      <c r="G38" s="367">
        <v>5</v>
      </c>
      <c r="H38" s="367">
        <v>5</v>
      </c>
      <c r="I38" s="367">
        <v>5</v>
      </c>
      <c r="J38" s="367">
        <v>5</v>
      </c>
      <c r="K38" s="367">
        <v>5</v>
      </c>
      <c r="L38" s="367">
        <v>5</v>
      </c>
    </row>
    <row r="39" spans="2:12" ht="24.75" thickBot="1" x14ac:dyDescent="0.3">
      <c r="B39" s="357" t="s">
        <v>125</v>
      </c>
      <c r="C39" s="357" t="s">
        <v>54</v>
      </c>
      <c r="D39" s="369"/>
      <c r="E39" s="369"/>
      <c r="F39" s="367">
        <v>0.1</v>
      </c>
      <c r="G39" s="367">
        <v>0.1</v>
      </c>
      <c r="H39" s="367">
        <v>0.1</v>
      </c>
      <c r="I39" s="367">
        <v>0.1</v>
      </c>
      <c r="J39" s="367">
        <v>0.1</v>
      </c>
      <c r="K39" s="367">
        <v>0.1</v>
      </c>
      <c r="L39" s="367">
        <v>0.1</v>
      </c>
    </row>
    <row r="40" spans="2:12" ht="24.75" thickBot="1" x14ac:dyDescent="0.3">
      <c r="B40" s="357" t="s">
        <v>125</v>
      </c>
      <c r="C40" s="357" t="s">
        <v>54</v>
      </c>
      <c r="D40" s="369"/>
      <c r="E40" s="369"/>
      <c r="F40" s="367">
        <v>2</v>
      </c>
      <c r="G40" s="367">
        <v>2</v>
      </c>
      <c r="H40" s="367">
        <v>2</v>
      </c>
      <c r="I40" s="367">
        <v>2</v>
      </c>
      <c r="J40" s="367">
        <v>2</v>
      </c>
      <c r="K40" s="367">
        <v>2</v>
      </c>
      <c r="L40" s="367">
        <v>2</v>
      </c>
    </row>
  </sheetData>
  <mergeCells count="8">
    <mergeCell ref="B15:L15"/>
    <mergeCell ref="B25:L25"/>
    <mergeCell ref="B4:L4"/>
    <mergeCell ref="B6:B7"/>
    <mergeCell ref="C6:C7"/>
    <mergeCell ref="D6:E6"/>
    <mergeCell ref="F6:L6"/>
    <mergeCell ref="B9:L9"/>
  </mergeCells>
  <pageMargins left="0.7" right="0.7" top="0.75" bottom="0.75" header="0.3" footer="0.3"/>
  <pageSetup paperSize="9" scale="57" orientation="portrait" r:id="rId1"/>
  <ignoredErrors>
    <ignoredError sqref="G22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46"/>
  <sheetViews>
    <sheetView showGridLines="0" view="pageBreakPreview" topLeftCell="B16" zoomScale="80" zoomScaleNormal="145" zoomScaleSheetLayoutView="80" workbookViewId="0">
      <selection activeCell="F34" sqref="F34:L34"/>
    </sheetView>
  </sheetViews>
  <sheetFormatPr baseColWidth="10" defaultColWidth="11.42578125" defaultRowHeight="15" x14ac:dyDescent="0.25"/>
  <cols>
    <col min="2" max="2" width="15.7109375" customWidth="1"/>
    <col min="3" max="3" width="10.28515625" customWidth="1"/>
    <col min="4" max="4" width="10.42578125" customWidth="1"/>
    <col min="5" max="5" width="11.28515625" customWidth="1"/>
    <col min="6" max="6" width="8.42578125" customWidth="1"/>
    <col min="7" max="7" width="7.5703125" customWidth="1"/>
    <col min="8" max="8" width="7.7109375" customWidth="1"/>
    <col min="9" max="9" width="9.28515625" customWidth="1"/>
    <col min="10" max="10" width="8.85546875" customWidth="1"/>
    <col min="11" max="11" width="7.140625" customWidth="1"/>
    <col min="12" max="12" width="21.140625" customWidth="1"/>
  </cols>
  <sheetData>
    <row r="1" spans="2:14" ht="6" customHeight="1" x14ac:dyDescent="0.25"/>
    <row r="2" spans="2:14" ht="6" customHeight="1" x14ac:dyDescent="0.25"/>
    <row r="3" spans="2:14" ht="6.75" customHeight="1" x14ac:dyDescent="0.25"/>
    <row r="4" spans="2:14" ht="37.5" customHeight="1" x14ac:dyDescent="0.25">
      <c r="B4" s="380" t="s">
        <v>376</v>
      </c>
      <c r="C4" s="381"/>
      <c r="D4" s="381"/>
      <c r="E4" s="381"/>
      <c r="F4" s="381"/>
      <c r="G4" s="381"/>
      <c r="H4" s="381"/>
      <c r="I4" s="381"/>
      <c r="J4" s="381"/>
      <c r="K4" s="381"/>
      <c r="L4" s="381"/>
    </row>
    <row r="5" spans="2:14" ht="2.25" customHeight="1" thickBot="1" x14ac:dyDescent="0.3"/>
    <row r="6" spans="2:14" ht="24.75" customHeight="1" thickBot="1" x14ac:dyDescent="0.3">
      <c r="B6" s="382" t="s">
        <v>34</v>
      </c>
      <c r="C6" s="382" t="s">
        <v>296</v>
      </c>
      <c r="D6" s="384" t="s">
        <v>33</v>
      </c>
      <c r="E6" s="384"/>
      <c r="F6" s="385" t="s">
        <v>137</v>
      </c>
      <c r="G6" s="386"/>
      <c r="H6" s="386"/>
      <c r="I6" s="386"/>
      <c r="J6" s="386"/>
      <c r="K6" s="386"/>
      <c r="L6" s="387"/>
    </row>
    <row r="7" spans="2:14" ht="29.25" customHeight="1" thickBot="1" x14ac:dyDescent="0.3">
      <c r="B7" s="383"/>
      <c r="C7" s="383"/>
      <c r="D7" s="347" t="s">
        <v>298</v>
      </c>
      <c r="E7" s="348" t="s">
        <v>297</v>
      </c>
      <c r="F7" s="349" t="s">
        <v>27</v>
      </c>
      <c r="G7" s="349" t="s">
        <v>28</v>
      </c>
      <c r="H7" s="349" t="s">
        <v>29</v>
      </c>
      <c r="I7" s="349" t="s">
        <v>30</v>
      </c>
      <c r="J7" s="349" t="s">
        <v>31</v>
      </c>
      <c r="K7" s="349" t="s">
        <v>25</v>
      </c>
      <c r="L7" s="349" t="s">
        <v>32</v>
      </c>
    </row>
    <row r="8" spans="2:14" ht="3" customHeight="1" x14ac:dyDescent="0.25"/>
    <row r="9" spans="2:14" ht="15.75" customHeight="1" thickBot="1" x14ac:dyDescent="0.3">
      <c r="B9" s="379" t="s">
        <v>295</v>
      </c>
      <c r="C9" s="379"/>
      <c r="D9" s="379"/>
      <c r="E9" s="379"/>
      <c r="F9" s="379"/>
      <c r="G9" s="379"/>
      <c r="H9" s="379"/>
      <c r="I9" s="379"/>
      <c r="J9" s="379"/>
      <c r="K9" s="379"/>
      <c r="L9" s="379"/>
      <c r="M9" s="232" t="s">
        <v>372</v>
      </c>
      <c r="N9" s="232" t="s">
        <v>373</v>
      </c>
    </row>
    <row r="10" spans="2:14" ht="24.75" thickBot="1" x14ac:dyDescent="0.3">
      <c r="B10" s="365" t="s">
        <v>41</v>
      </c>
      <c r="C10" s="365" t="s">
        <v>64</v>
      </c>
      <c r="D10" s="365" t="s">
        <v>62</v>
      </c>
      <c r="E10" s="365" t="s">
        <v>63</v>
      </c>
      <c r="F10" s="372">
        <v>1946</v>
      </c>
      <c r="G10" s="372">
        <v>2142</v>
      </c>
      <c r="H10" s="372">
        <v>2850</v>
      </c>
      <c r="I10" s="372">
        <v>2670</v>
      </c>
      <c r="J10" s="372">
        <v>2129</v>
      </c>
      <c r="K10" s="373">
        <v>431</v>
      </c>
      <c r="L10" s="373">
        <v>433</v>
      </c>
      <c r="M10" s="350">
        <f>MAX(F10:L10)</f>
        <v>2850</v>
      </c>
      <c r="N10" s="350">
        <f>MIN(F10:L10)</f>
        <v>431</v>
      </c>
    </row>
    <row r="11" spans="2:14" ht="15.75" thickBot="1" x14ac:dyDescent="0.3">
      <c r="B11" s="365" t="s">
        <v>23</v>
      </c>
      <c r="C11" s="366" t="s">
        <v>37</v>
      </c>
      <c r="D11" s="366" t="s">
        <v>65</v>
      </c>
      <c r="E11" s="365" t="s">
        <v>66</v>
      </c>
      <c r="F11" s="374">
        <v>8.06</v>
      </c>
      <c r="G11" s="374">
        <v>7.78</v>
      </c>
      <c r="H11" s="374">
        <v>7.86</v>
      </c>
      <c r="I11" s="374">
        <v>8.0299999999999994</v>
      </c>
      <c r="J11" s="374">
        <v>8.08</v>
      </c>
      <c r="K11" s="374">
        <v>8.59</v>
      </c>
      <c r="L11" s="374">
        <v>8.32</v>
      </c>
      <c r="M11" s="352">
        <f t="shared" ref="M11:M34" si="0">MAX(F11:L11)</f>
        <v>8.59</v>
      </c>
      <c r="N11" s="352">
        <f t="shared" ref="N11:N34" si="1">MIN(F11:L11)</f>
        <v>7.78</v>
      </c>
    </row>
    <row r="12" spans="2:14" ht="24.75" thickBot="1" x14ac:dyDescent="0.3">
      <c r="B12" s="365" t="s">
        <v>38</v>
      </c>
      <c r="C12" s="365" t="s">
        <v>24</v>
      </c>
      <c r="D12" s="366" t="s">
        <v>37</v>
      </c>
      <c r="E12" s="366" t="s">
        <v>37</v>
      </c>
      <c r="F12" s="372">
        <v>995</v>
      </c>
      <c r="G12" s="372">
        <v>1071</v>
      </c>
      <c r="H12" s="372">
        <v>1427</v>
      </c>
      <c r="I12" s="372">
        <v>1329</v>
      </c>
      <c r="J12" s="372">
        <v>1078</v>
      </c>
      <c r="K12" s="372">
        <v>220</v>
      </c>
      <c r="L12" s="373">
        <v>223</v>
      </c>
      <c r="M12" s="350">
        <f t="shared" si="0"/>
        <v>1427</v>
      </c>
      <c r="N12" s="350">
        <f t="shared" si="1"/>
        <v>220</v>
      </c>
    </row>
    <row r="13" spans="2:14" ht="15.75" thickBot="1" x14ac:dyDescent="0.3">
      <c r="B13" s="365" t="s">
        <v>39</v>
      </c>
      <c r="C13" s="365" t="s">
        <v>40</v>
      </c>
      <c r="D13" s="366" t="s">
        <v>37</v>
      </c>
      <c r="E13" s="366" t="s">
        <v>37</v>
      </c>
      <c r="F13" s="373">
        <v>24.5</v>
      </c>
      <c r="G13" s="373">
        <v>24.4</v>
      </c>
      <c r="H13" s="373">
        <v>25.9</v>
      </c>
      <c r="I13" s="373">
        <v>25.8</v>
      </c>
      <c r="J13" s="373">
        <v>24.6</v>
      </c>
      <c r="K13" s="373">
        <v>21.9</v>
      </c>
      <c r="L13" s="373">
        <v>21.7</v>
      </c>
      <c r="M13" s="350">
        <f t="shared" si="0"/>
        <v>25.9</v>
      </c>
      <c r="N13" s="350">
        <f t="shared" si="1"/>
        <v>21.7</v>
      </c>
    </row>
    <row r="14" spans="2:14" ht="15.75" thickBot="1" x14ac:dyDescent="0.3">
      <c r="B14" s="365" t="s">
        <v>327</v>
      </c>
      <c r="C14" s="365" t="s">
        <v>53</v>
      </c>
      <c r="D14" s="366" t="s">
        <v>37</v>
      </c>
      <c r="E14" s="366" t="s">
        <v>37</v>
      </c>
      <c r="F14" s="375">
        <v>20.731000000000002</v>
      </c>
      <c r="G14" s="375">
        <v>24.1</v>
      </c>
      <c r="H14" s="375">
        <v>20.5</v>
      </c>
      <c r="I14" s="375">
        <v>53.1</v>
      </c>
      <c r="J14" s="375">
        <v>69.900000000000006</v>
      </c>
      <c r="K14" s="375">
        <v>57.8</v>
      </c>
      <c r="L14" s="375">
        <v>75.099999999999994</v>
      </c>
      <c r="M14" s="350">
        <f t="shared" si="0"/>
        <v>75.099999999999994</v>
      </c>
      <c r="N14" s="350">
        <f t="shared" si="1"/>
        <v>20.5</v>
      </c>
    </row>
    <row r="15" spans="2:14" ht="15.75" customHeight="1" thickBot="1" x14ac:dyDescent="0.3">
      <c r="B15" s="379" t="s">
        <v>294</v>
      </c>
      <c r="C15" s="379"/>
      <c r="D15" s="379"/>
      <c r="E15" s="379"/>
      <c r="F15" s="379"/>
      <c r="G15" s="379"/>
      <c r="H15" s="379"/>
      <c r="I15" s="379"/>
      <c r="J15" s="379"/>
      <c r="K15" s="379"/>
      <c r="L15" s="379"/>
      <c r="M15" s="350">
        <f t="shared" si="0"/>
        <v>0</v>
      </c>
      <c r="N15" s="350">
        <f t="shared" si="1"/>
        <v>0</v>
      </c>
    </row>
    <row r="16" spans="2:14" ht="1.5" customHeight="1" thickBot="1" x14ac:dyDescent="0.3">
      <c r="M16" s="350">
        <f t="shared" si="0"/>
        <v>0</v>
      </c>
      <c r="N16" s="350">
        <f t="shared" si="1"/>
        <v>0</v>
      </c>
    </row>
    <row r="17" spans="2:14" ht="15.75" thickBot="1" x14ac:dyDescent="0.3">
      <c r="B17" s="367" t="s">
        <v>326</v>
      </c>
      <c r="C17" s="367" t="s">
        <v>54</v>
      </c>
      <c r="D17" s="367">
        <v>100</v>
      </c>
      <c r="E17" s="367">
        <v>100</v>
      </c>
      <c r="F17" s="356">
        <v>8.9</v>
      </c>
      <c r="G17" s="356">
        <v>7.8</v>
      </c>
      <c r="H17" s="356">
        <v>9.5</v>
      </c>
      <c r="I17" s="356">
        <v>7.2</v>
      </c>
      <c r="J17" s="356">
        <v>6.9</v>
      </c>
      <c r="K17" s="356">
        <v>1.8</v>
      </c>
      <c r="L17" s="356">
        <v>2.1</v>
      </c>
      <c r="M17" s="352">
        <f t="shared" si="0"/>
        <v>9.5</v>
      </c>
      <c r="N17" s="352">
        <f t="shared" si="1"/>
        <v>1.8</v>
      </c>
    </row>
    <row r="18" spans="2:14" ht="15.75" thickBot="1" x14ac:dyDescent="0.3">
      <c r="B18" s="367" t="s">
        <v>374</v>
      </c>
      <c r="C18" s="367" t="s">
        <v>54</v>
      </c>
      <c r="D18" s="367">
        <v>10</v>
      </c>
      <c r="E18" s="368">
        <v>10</v>
      </c>
      <c r="F18" s="364">
        <v>15</v>
      </c>
      <c r="G18" s="364">
        <v>14</v>
      </c>
      <c r="H18" s="364">
        <v>16</v>
      </c>
      <c r="I18" s="364">
        <v>15</v>
      </c>
      <c r="J18" s="364">
        <v>14</v>
      </c>
      <c r="K18" s="364">
        <v>14</v>
      </c>
      <c r="L18" s="364">
        <v>12</v>
      </c>
      <c r="M18" s="352">
        <f t="shared" si="0"/>
        <v>16</v>
      </c>
      <c r="N18" s="352">
        <f t="shared" si="1"/>
        <v>12</v>
      </c>
    </row>
    <row r="19" spans="2:14" ht="24.75" thickBot="1" x14ac:dyDescent="0.3">
      <c r="B19" s="367" t="s">
        <v>333</v>
      </c>
      <c r="C19" s="367" t="s">
        <v>54</v>
      </c>
      <c r="D19" s="367" t="s">
        <v>69</v>
      </c>
      <c r="E19" s="367">
        <v>1</v>
      </c>
      <c r="F19" s="360">
        <v>5.8000000000000003E-2</v>
      </c>
      <c r="G19" s="362">
        <v>3.3000000000000002E-2</v>
      </c>
      <c r="H19" s="361">
        <v>4.2000000000000003E-2</v>
      </c>
      <c r="I19" s="362">
        <v>0.08</v>
      </c>
      <c r="J19" s="362">
        <v>0.04</v>
      </c>
      <c r="K19" s="362">
        <v>7.0000000000000007E-2</v>
      </c>
      <c r="L19" s="360">
        <v>0.05</v>
      </c>
      <c r="M19" s="352">
        <f t="shared" si="0"/>
        <v>0.08</v>
      </c>
      <c r="N19" s="351">
        <f t="shared" si="1"/>
        <v>3.3000000000000002E-2</v>
      </c>
    </row>
    <row r="20" spans="2:14" ht="15.75" thickBot="1" x14ac:dyDescent="0.3">
      <c r="B20" s="367" t="s">
        <v>51</v>
      </c>
      <c r="C20" s="367" t="s">
        <v>54</v>
      </c>
      <c r="D20" s="367" t="s">
        <v>67</v>
      </c>
      <c r="E20" s="367" t="s">
        <v>68</v>
      </c>
      <c r="F20" s="358">
        <v>1.42</v>
      </c>
      <c r="G20" s="358">
        <v>1.22</v>
      </c>
      <c r="H20" s="358">
        <v>1.23</v>
      </c>
      <c r="I20" s="358">
        <v>1.44</v>
      </c>
      <c r="J20" s="358">
        <v>1.1299999999999999</v>
      </c>
      <c r="K20" s="358">
        <v>1.02</v>
      </c>
      <c r="L20" s="358">
        <v>0.8</v>
      </c>
      <c r="M20" s="352">
        <f t="shared" si="0"/>
        <v>1.44</v>
      </c>
      <c r="N20" s="352">
        <f t="shared" si="1"/>
        <v>0.8</v>
      </c>
    </row>
    <row r="21" spans="2:14" ht="15.75" thickBot="1" x14ac:dyDescent="0.3">
      <c r="B21" s="367" t="s">
        <v>49</v>
      </c>
      <c r="C21" s="367" t="s">
        <v>54</v>
      </c>
      <c r="D21" s="367" t="s">
        <v>67</v>
      </c>
      <c r="E21" s="367" t="s">
        <v>67</v>
      </c>
      <c r="F21" s="358">
        <v>1</v>
      </c>
      <c r="G21" s="358">
        <v>1.2</v>
      </c>
      <c r="H21" s="358">
        <v>1</v>
      </c>
      <c r="I21" s="358">
        <v>0.9</v>
      </c>
      <c r="J21" s="358">
        <v>0.8</v>
      </c>
      <c r="K21" s="358">
        <v>0.8</v>
      </c>
      <c r="L21" s="356">
        <v>0.5</v>
      </c>
      <c r="M21" s="352">
        <f t="shared" si="0"/>
        <v>1.2</v>
      </c>
      <c r="N21" s="352">
        <f t="shared" si="1"/>
        <v>0.5</v>
      </c>
    </row>
    <row r="22" spans="2:14" ht="15.75" thickBot="1" x14ac:dyDescent="0.3">
      <c r="B22" s="367" t="s">
        <v>46</v>
      </c>
      <c r="C22" s="367" t="s">
        <v>54</v>
      </c>
      <c r="D22" s="367" t="s">
        <v>59</v>
      </c>
      <c r="E22" s="367" t="s">
        <v>59</v>
      </c>
      <c r="F22" s="371">
        <v>140</v>
      </c>
      <c r="G22" s="371">
        <v>145</v>
      </c>
      <c r="H22" s="371">
        <v>150</v>
      </c>
      <c r="I22" s="371">
        <v>165</v>
      </c>
      <c r="J22" s="371">
        <v>160</v>
      </c>
      <c r="K22" s="371">
        <v>155</v>
      </c>
      <c r="L22" s="371">
        <v>180</v>
      </c>
      <c r="M22" s="352">
        <f t="shared" si="0"/>
        <v>180</v>
      </c>
      <c r="N22" s="352">
        <f t="shared" si="1"/>
        <v>140</v>
      </c>
    </row>
    <row r="23" spans="2:14" ht="15.75" thickBot="1" x14ac:dyDescent="0.3">
      <c r="B23" s="367" t="s">
        <v>50</v>
      </c>
      <c r="C23" s="367" t="s">
        <v>54</v>
      </c>
      <c r="D23" s="367">
        <v>5</v>
      </c>
      <c r="E23" s="367" t="s">
        <v>37</v>
      </c>
      <c r="F23" s="353">
        <v>0.13100000000000001</v>
      </c>
      <c r="G23" s="353">
        <v>0.129</v>
      </c>
      <c r="H23" s="353">
        <v>0.11899999999999999</v>
      </c>
      <c r="I23" s="353">
        <v>0.17799999999999999</v>
      </c>
      <c r="J23" s="353">
        <v>0.14199999999999999</v>
      </c>
      <c r="K23" s="353">
        <v>0.77500000000000002</v>
      </c>
      <c r="L23" s="353">
        <v>0.96699999999999997</v>
      </c>
      <c r="M23" s="352">
        <f t="shared" si="0"/>
        <v>0.96699999999999997</v>
      </c>
      <c r="N23" s="352">
        <f t="shared" si="1"/>
        <v>0.11899999999999999</v>
      </c>
    </row>
    <row r="24" spans="2:14" ht="15.75" thickBot="1" x14ac:dyDescent="0.3">
      <c r="B24" s="367" t="s">
        <v>334</v>
      </c>
      <c r="C24" s="367" t="s">
        <v>54</v>
      </c>
      <c r="D24" s="367">
        <v>2</v>
      </c>
      <c r="E24" s="367">
        <v>24</v>
      </c>
      <c r="F24" s="357">
        <v>0.69</v>
      </c>
      <c r="G24" s="357">
        <v>0.25</v>
      </c>
      <c r="H24" s="357">
        <v>0.32</v>
      </c>
      <c r="I24" s="357">
        <v>0.22</v>
      </c>
      <c r="J24" s="357">
        <v>0.18</v>
      </c>
      <c r="K24" s="357">
        <v>0.23</v>
      </c>
      <c r="L24" s="357">
        <v>0.18</v>
      </c>
      <c r="M24" s="352">
        <f t="shared" si="0"/>
        <v>0.69</v>
      </c>
      <c r="N24" s="352">
        <f t="shared" si="1"/>
        <v>0.18</v>
      </c>
    </row>
    <row r="25" spans="2:14" ht="15.75" thickBot="1" x14ac:dyDescent="0.3">
      <c r="B25" s="367" t="s">
        <v>378</v>
      </c>
      <c r="C25" s="367" t="s">
        <v>54</v>
      </c>
      <c r="D25" s="367" t="s">
        <v>37</v>
      </c>
      <c r="E25" s="367" t="s">
        <v>37</v>
      </c>
      <c r="F25" s="376">
        <v>1021</v>
      </c>
      <c r="G25" s="376">
        <v>1122</v>
      </c>
      <c r="H25" s="376">
        <v>815</v>
      </c>
      <c r="I25" s="376">
        <v>717</v>
      </c>
      <c r="J25" s="376">
        <v>609</v>
      </c>
      <c r="K25" s="376">
        <v>199</v>
      </c>
      <c r="L25" s="377">
        <v>169</v>
      </c>
      <c r="M25" s="352">
        <f t="shared" si="0"/>
        <v>1122</v>
      </c>
      <c r="N25" s="352">
        <f t="shared" si="1"/>
        <v>169</v>
      </c>
    </row>
    <row r="26" spans="2:14" ht="15.75" thickBot="1" x14ac:dyDescent="0.3">
      <c r="B26" s="367" t="s">
        <v>377</v>
      </c>
      <c r="C26" s="367" t="s">
        <v>54</v>
      </c>
      <c r="D26" s="367">
        <v>500</v>
      </c>
      <c r="E26" s="367" t="s">
        <v>37</v>
      </c>
      <c r="F26" s="376">
        <v>9776</v>
      </c>
      <c r="G26" s="376">
        <v>6983</v>
      </c>
      <c r="H26" s="376">
        <v>6268</v>
      </c>
      <c r="I26" s="376">
        <v>6036</v>
      </c>
      <c r="J26" s="376">
        <v>5137</v>
      </c>
      <c r="K26" s="376">
        <v>777</v>
      </c>
      <c r="L26" s="377">
        <v>741</v>
      </c>
      <c r="M26" s="350">
        <f t="shared" si="0"/>
        <v>9776</v>
      </c>
      <c r="N26" s="350">
        <f t="shared" si="1"/>
        <v>741</v>
      </c>
    </row>
    <row r="27" spans="2:14" ht="15.75" thickBot="1" x14ac:dyDescent="0.3">
      <c r="B27" s="367" t="s">
        <v>379</v>
      </c>
      <c r="C27" s="367" t="s">
        <v>54</v>
      </c>
      <c r="D27" s="367" t="s">
        <v>37</v>
      </c>
      <c r="E27" s="368" t="s">
        <v>37</v>
      </c>
      <c r="F27" s="376">
        <v>1388</v>
      </c>
      <c r="G27" s="376">
        <v>749</v>
      </c>
      <c r="H27" s="376">
        <v>1376</v>
      </c>
      <c r="I27" s="376">
        <v>1330</v>
      </c>
      <c r="J27" s="376">
        <v>1007</v>
      </c>
      <c r="K27" s="376">
        <v>274</v>
      </c>
      <c r="L27" s="376">
        <v>228</v>
      </c>
      <c r="M27" s="352">
        <f t="shared" si="0"/>
        <v>1388</v>
      </c>
      <c r="N27" s="352">
        <f t="shared" si="1"/>
        <v>228</v>
      </c>
    </row>
    <row r="28" spans="2:14" ht="15.75" thickBot="1" x14ac:dyDescent="0.3">
      <c r="B28" s="367" t="s">
        <v>380</v>
      </c>
      <c r="C28" s="367" t="s">
        <v>54</v>
      </c>
      <c r="D28" s="367" t="s">
        <v>37</v>
      </c>
      <c r="E28" s="368" t="s">
        <v>37</v>
      </c>
      <c r="F28" s="363">
        <v>21</v>
      </c>
      <c r="G28" s="363">
        <v>12</v>
      </c>
      <c r="H28" s="363">
        <v>15</v>
      </c>
      <c r="I28" s="363">
        <v>13</v>
      </c>
      <c r="J28" s="363">
        <v>11</v>
      </c>
      <c r="K28" s="363">
        <v>5.63</v>
      </c>
      <c r="L28" s="363">
        <v>5.42</v>
      </c>
      <c r="M28" s="352">
        <f t="shared" si="0"/>
        <v>21</v>
      </c>
      <c r="N28" s="352">
        <f t="shared" si="1"/>
        <v>5.42</v>
      </c>
    </row>
    <row r="29" spans="2:14" ht="15.75" thickBot="1" x14ac:dyDescent="0.3">
      <c r="B29" s="367" t="s">
        <v>382</v>
      </c>
      <c r="C29" s="367" t="s">
        <v>54</v>
      </c>
      <c r="D29" s="367" t="s">
        <v>37</v>
      </c>
      <c r="E29" s="368" t="s">
        <v>37</v>
      </c>
      <c r="F29" s="363">
        <v>156</v>
      </c>
      <c r="G29" s="363">
        <v>141</v>
      </c>
      <c r="H29" s="363">
        <v>153</v>
      </c>
      <c r="I29" s="363">
        <v>168</v>
      </c>
      <c r="J29" s="363">
        <v>181</v>
      </c>
      <c r="K29" s="363">
        <v>129</v>
      </c>
      <c r="L29" s="363">
        <v>107</v>
      </c>
      <c r="M29" s="352">
        <f t="shared" si="0"/>
        <v>181</v>
      </c>
      <c r="N29" s="352">
        <f t="shared" si="1"/>
        <v>107</v>
      </c>
    </row>
    <row r="30" spans="2:14" ht="15.75" customHeight="1" thickBot="1" x14ac:dyDescent="0.3">
      <c r="B30" s="367" t="s">
        <v>381</v>
      </c>
      <c r="C30" s="367" t="s">
        <v>54</v>
      </c>
      <c r="D30" s="367" t="s">
        <v>37</v>
      </c>
      <c r="E30" s="367">
        <v>250</v>
      </c>
      <c r="F30" s="376">
        <v>9373</v>
      </c>
      <c r="G30" s="376">
        <v>6926</v>
      </c>
      <c r="H30" s="376">
        <v>6669</v>
      </c>
      <c r="I30" s="376">
        <v>6797</v>
      </c>
      <c r="J30" s="376">
        <v>5468</v>
      </c>
      <c r="K30" s="376">
        <v>3782</v>
      </c>
      <c r="L30" s="376">
        <v>4003</v>
      </c>
      <c r="M30" s="352">
        <f t="shared" si="0"/>
        <v>9373</v>
      </c>
      <c r="N30" s="352">
        <f t="shared" si="1"/>
        <v>3782</v>
      </c>
    </row>
    <row r="31" spans="2:14" ht="15.75" customHeight="1" thickBot="1" x14ac:dyDescent="0.3">
      <c r="B31" s="379" t="s">
        <v>293</v>
      </c>
      <c r="C31" s="379"/>
      <c r="D31" s="379"/>
      <c r="E31" s="379"/>
      <c r="F31" s="379"/>
      <c r="G31" s="379"/>
      <c r="H31" s="379"/>
      <c r="I31" s="379"/>
      <c r="J31" s="379"/>
      <c r="K31" s="379"/>
      <c r="L31" s="379"/>
      <c r="M31" s="350">
        <f t="shared" si="0"/>
        <v>0</v>
      </c>
      <c r="N31" s="352">
        <f t="shared" si="1"/>
        <v>0</v>
      </c>
    </row>
    <row r="32" spans="2:14" ht="1.5" customHeight="1" thickBot="1" x14ac:dyDescent="0.3">
      <c r="M32" s="350">
        <f t="shared" si="0"/>
        <v>0</v>
      </c>
      <c r="N32" s="350">
        <f t="shared" si="1"/>
        <v>0</v>
      </c>
    </row>
    <row r="33" spans="2:14" ht="24.75" thickBot="1" x14ac:dyDescent="0.3">
      <c r="B33" s="367" t="s">
        <v>57</v>
      </c>
      <c r="C33" s="367" t="s">
        <v>58</v>
      </c>
      <c r="D33" s="368" t="s">
        <v>37</v>
      </c>
      <c r="E33" s="368" t="s">
        <v>37</v>
      </c>
      <c r="F33" s="364">
        <v>1100</v>
      </c>
      <c r="G33" s="364">
        <v>1100</v>
      </c>
      <c r="H33" s="364">
        <v>1100</v>
      </c>
      <c r="I33" s="364">
        <v>460</v>
      </c>
      <c r="J33" s="363">
        <v>460</v>
      </c>
      <c r="K33" s="363">
        <v>460</v>
      </c>
      <c r="L33" s="363">
        <v>460</v>
      </c>
      <c r="M33" s="350">
        <f t="shared" si="0"/>
        <v>1100</v>
      </c>
      <c r="N33" s="350">
        <f t="shared" si="1"/>
        <v>460</v>
      </c>
    </row>
    <row r="34" spans="2:14" ht="24.75" thickBot="1" x14ac:dyDescent="0.3">
      <c r="B34" s="367" t="s">
        <v>55</v>
      </c>
      <c r="C34" s="367" t="s">
        <v>58</v>
      </c>
      <c r="D34" s="367" t="s">
        <v>59</v>
      </c>
      <c r="E34" s="367" t="s">
        <v>59</v>
      </c>
      <c r="F34" s="364">
        <v>1100</v>
      </c>
      <c r="G34" s="364">
        <v>1100</v>
      </c>
      <c r="H34" s="364">
        <v>1100</v>
      </c>
      <c r="I34" s="363">
        <v>460</v>
      </c>
      <c r="J34" s="363">
        <v>460</v>
      </c>
      <c r="K34" s="363">
        <v>240</v>
      </c>
      <c r="L34" s="363">
        <v>240</v>
      </c>
      <c r="M34" s="350">
        <f t="shared" si="0"/>
        <v>1100</v>
      </c>
      <c r="N34" s="350">
        <f t="shared" si="1"/>
        <v>240</v>
      </c>
    </row>
    <row r="36" spans="2:14" ht="15.75" thickBot="1" x14ac:dyDescent="0.3">
      <c r="B36" s="26"/>
      <c r="C36" s="26"/>
    </row>
    <row r="37" spans="2:14" ht="15.75" thickBot="1" x14ac:dyDescent="0.3">
      <c r="B37" s="357" t="s">
        <v>89</v>
      </c>
      <c r="C37" s="357" t="s">
        <v>54</v>
      </c>
      <c r="D37" s="369"/>
      <c r="E37" s="369"/>
      <c r="F37" s="367">
        <v>1000</v>
      </c>
      <c r="G37" s="367">
        <v>1000</v>
      </c>
      <c r="H37" s="367">
        <v>1000</v>
      </c>
      <c r="I37" s="367">
        <v>1000</v>
      </c>
      <c r="J37" s="367">
        <v>1000</v>
      </c>
      <c r="K37" s="367">
        <v>1000</v>
      </c>
      <c r="L37" s="367">
        <v>1000</v>
      </c>
    </row>
    <row r="38" spans="2:14" ht="15.75" thickBot="1" x14ac:dyDescent="0.3">
      <c r="B38" s="357" t="s">
        <v>89</v>
      </c>
      <c r="C38" s="357" t="s">
        <v>54</v>
      </c>
      <c r="D38" s="369"/>
      <c r="E38" s="369"/>
      <c r="F38" s="367">
        <v>100</v>
      </c>
      <c r="G38" s="367">
        <v>100</v>
      </c>
      <c r="H38" s="367">
        <v>100</v>
      </c>
      <c r="I38" s="367">
        <v>100</v>
      </c>
      <c r="J38" s="367">
        <v>100</v>
      </c>
      <c r="K38" s="367">
        <v>100</v>
      </c>
      <c r="L38" s="367">
        <v>100</v>
      </c>
    </row>
    <row r="39" spans="2:14" ht="24.75" thickBot="1" x14ac:dyDescent="0.3">
      <c r="B39" s="357" t="s">
        <v>125</v>
      </c>
      <c r="C39" s="357" t="s">
        <v>54</v>
      </c>
      <c r="D39" s="369"/>
      <c r="E39" s="369"/>
      <c r="F39" s="367">
        <v>0.2</v>
      </c>
      <c r="G39" s="367">
        <v>0.2</v>
      </c>
      <c r="H39" s="367">
        <v>0.2</v>
      </c>
      <c r="I39" s="367">
        <v>0.2</v>
      </c>
      <c r="J39" s="367">
        <v>0.2</v>
      </c>
      <c r="K39" s="367">
        <v>0.2</v>
      </c>
      <c r="L39" s="367">
        <v>0.2</v>
      </c>
    </row>
    <row r="40" spans="2:14" ht="24.75" thickBot="1" x14ac:dyDescent="0.3">
      <c r="B40" s="357" t="s">
        <v>126</v>
      </c>
      <c r="C40" s="357" t="s">
        <v>54</v>
      </c>
      <c r="D40" s="369"/>
      <c r="E40" s="369"/>
      <c r="F40" s="367">
        <v>0.5</v>
      </c>
      <c r="G40" s="367">
        <v>0.5</v>
      </c>
      <c r="H40" s="367">
        <v>0.5</v>
      </c>
      <c r="I40" s="367">
        <v>0.5</v>
      </c>
      <c r="J40" s="367">
        <v>0.5</v>
      </c>
      <c r="K40" s="367">
        <v>0.5</v>
      </c>
      <c r="L40" s="367">
        <v>0.5</v>
      </c>
    </row>
    <row r="41" spans="2:14" ht="24.75" thickBot="1" x14ac:dyDescent="0.3">
      <c r="B41" s="357" t="s">
        <v>125</v>
      </c>
      <c r="C41" s="357" t="s">
        <v>54</v>
      </c>
      <c r="D41" s="369"/>
      <c r="E41" s="369"/>
      <c r="F41" s="367">
        <v>500</v>
      </c>
      <c r="G41" s="367">
        <v>500</v>
      </c>
      <c r="H41" s="367">
        <v>500</v>
      </c>
      <c r="I41" s="367">
        <v>500</v>
      </c>
      <c r="J41" s="367">
        <v>500</v>
      </c>
      <c r="K41" s="367">
        <v>500</v>
      </c>
      <c r="L41" s="367">
        <v>500</v>
      </c>
    </row>
    <row r="42" spans="2:14" ht="36.75" thickBot="1" x14ac:dyDescent="0.3">
      <c r="B42" s="357" t="s">
        <v>336</v>
      </c>
      <c r="C42" s="357" t="s">
        <v>54</v>
      </c>
      <c r="D42" s="369"/>
      <c r="E42" s="369"/>
      <c r="F42" s="367">
        <v>0.2</v>
      </c>
      <c r="G42" s="367">
        <v>0.2</v>
      </c>
      <c r="H42" s="367">
        <v>0.2</v>
      </c>
      <c r="I42" s="367">
        <v>0.2</v>
      </c>
      <c r="J42" s="367">
        <v>0.2</v>
      </c>
      <c r="K42" s="367">
        <v>0.2</v>
      </c>
      <c r="L42" s="367">
        <v>0.2</v>
      </c>
    </row>
    <row r="43" spans="2:14" ht="36.75" thickBot="1" x14ac:dyDescent="0.3">
      <c r="B43" s="357" t="s">
        <v>336</v>
      </c>
      <c r="C43" s="357" t="s">
        <v>54</v>
      </c>
      <c r="D43" s="369"/>
      <c r="E43" s="369"/>
      <c r="F43" s="367">
        <v>10</v>
      </c>
      <c r="G43" s="367">
        <v>10</v>
      </c>
      <c r="H43" s="367">
        <v>10</v>
      </c>
      <c r="I43" s="367">
        <v>10</v>
      </c>
      <c r="J43" s="367">
        <v>10</v>
      </c>
      <c r="K43" s="367">
        <v>10</v>
      </c>
      <c r="L43" s="367">
        <v>10</v>
      </c>
    </row>
    <row r="44" spans="2:14" ht="24.75" thickBot="1" x14ac:dyDescent="0.3">
      <c r="B44" s="357" t="s">
        <v>125</v>
      </c>
      <c r="C44" s="357" t="s">
        <v>54</v>
      </c>
      <c r="D44" s="369"/>
      <c r="E44" s="369"/>
      <c r="F44" s="367">
        <v>5</v>
      </c>
      <c r="G44" s="367">
        <v>5</v>
      </c>
      <c r="H44" s="367">
        <v>5</v>
      </c>
      <c r="I44" s="367">
        <v>5</v>
      </c>
      <c r="J44" s="367">
        <v>5</v>
      </c>
      <c r="K44" s="367">
        <v>5</v>
      </c>
      <c r="L44" s="367">
        <v>5</v>
      </c>
    </row>
    <row r="45" spans="2:14" ht="24.75" thickBot="1" x14ac:dyDescent="0.3">
      <c r="B45" s="357" t="s">
        <v>125</v>
      </c>
      <c r="C45" s="357" t="s">
        <v>54</v>
      </c>
      <c r="D45" s="369"/>
      <c r="E45" s="369"/>
      <c r="F45" s="367">
        <v>0.1</v>
      </c>
      <c r="G45" s="367">
        <v>0.1</v>
      </c>
      <c r="H45" s="367">
        <v>0.1</v>
      </c>
      <c r="I45" s="367">
        <v>0.1</v>
      </c>
      <c r="J45" s="367">
        <v>0.1</v>
      </c>
      <c r="K45" s="367">
        <v>0.1</v>
      </c>
      <c r="L45" s="367">
        <v>0.1</v>
      </c>
    </row>
    <row r="46" spans="2:14" ht="24.75" thickBot="1" x14ac:dyDescent="0.3">
      <c r="B46" s="357" t="s">
        <v>125</v>
      </c>
      <c r="C46" s="357" t="s">
        <v>54</v>
      </c>
      <c r="D46" s="369"/>
      <c r="E46" s="369"/>
      <c r="F46" s="367">
        <v>2</v>
      </c>
      <c r="G46" s="367">
        <v>2</v>
      </c>
      <c r="H46" s="367">
        <v>2</v>
      </c>
      <c r="I46" s="367">
        <v>2</v>
      </c>
      <c r="J46" s="367">
        <v>2</v>
      </c>
      <c r="K46" s="367">
        <v>2</v>
      </c>
      <c r="L46" s="367">
        <v>2</v>
      </c>
    </row>
  </sheetData>
  <mergeCells count="8">
    <mergeCell ref="B15:L15"/>
    <mergeCell ref="B31:L31"/>
    <mergeCell ref="B4:L4"/>
    <mergeCell ref="B6:B7"/>
    <mergeCell ref="C6:C7"/>
    <mergeCell ref="D6:E6"/>
    <mergeCell ref="F6:L6"/>
    <mergeCell ref="B9:L9"/>
  </mergeCells>
  <pageMargins left="0.7" right="0.7" top="0.75" bottom="0.75" header="0.3" footer="0.3"/>
  <pageSetup paperSize="9" scale="5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6"/>
  <sheetViews>
    <sheetView showGridLines="0" view="pageBreakPreview" topLeftCell="A11" zoomScale="70" zoomScaleNormal="145" zoomScaleSheetLayoutView="70" workbookViewId="0">
      <selection activeCell="F34" sqref="F34:L34"/>
    </sheetView>
  </sheetViews>
  <sheetFormatPr baseColWidth="10" defaultColWidth="11.42578125" defaultRowHeight="15" x14ac:dyDescent="0.25"/>
  <cols>
    <col min="2" max="2" width="15.7109375" customWidth="1"/>
    <col min="3" max="3" width="10.28515625" customWidth="1"/>
    <col min="4" max="4" width="10.42578125" customWidth="1"/>
    <col min="5" max="5" width="11.28515625" customWidth="1"/>
    <col min="6" max="6" width="8.42578125" customWidth="1"/>
    <col min="7" max="7" width="7.5703125" customWidth="1"/>
    <col min="8" max="8" width="7.7109375" customWidth="1"/>
    <col min="9" max="9" width="9.28515625" customWidth="1"/>
    <col min="10" max="10" width="8.85546875" customWidth="1"/>
    <col min="11" max="11" width="7.140625" customWidth="1"/>
    <col min="12" max="12" width="21.140625" customWidth="1"/>
  </cols>
  <sheetData>
    <row r="1" spans="2:14" ht="6" customHeight="1" x14ac:dyDescent="0.25"/>
    <row r="2" spans="2:14" ht="6" customHeight="1" x14ac:dyDescent="0.25"/>
    <row r="3" spans="2:14" ht="6.75" customHeight="1" x14ac:dyDescent="0.25"/>
    <row r="4" spans="2:14" ht="37.5" customHeight="1" x14ac:dyDescent="0.25">
      <c r="B4" s="380" t="s">
        <v>376</v>
      </c>
      <c r="C4" s="381"/>
      <c r="D4" s="381"/>
      <c r="E4" s="381"/>
      <c r="F4" s="381"/>
      <c r="G4" s="381"/>
      <c r="H4" s="381"/>
      <c r="I4" s="381"/>
      <c r="J4" s="381"/>
      <c r="K4" s="381"/>
      <c r="L4" s="381"/>
    </row>
    <row r="5" spans="2:14" ht="2.25" customHeight="1" thickBot="1" x14ac:dyDescent="0.3"/>
    <row r="6" spans="2:14" ht="24.75" customHeight="1" thickBot="1" x14ac:dyDescent="0.3">
      <c r="B6" s="382" t="s">
        <v>34</v>
      </c>
      <c r="C6" s="382" t="s">
        <v>296</v>
      </c>
      <c r="D6" s="384" t="s">
        <v>33</v>
      </c>
      <c r="E6" s="384"/>
      <c r="F6" s="385" t="s">
        <v>137</v>
      </c>
      <c r="G6" s="386"/>
      <c r="H6" s="386"/>
      <c r="I6" s="386"/>
      <c r="J6" s="386"/>
      <c r="K6" s="386"/>
      <c r="L6" s="387"/>
    </row>
    <row r="7" spans="2:14" ht="29.25" customHeight="1" thickBot="1" x14ac:dyDescent="0.3">
      <c r="B7" s="383"/>
      <c r="C7" s="383"/>
      <c r="D7" s="347" t="s">
        <v>298</v>
      </c>
      <c r="E7" s="348" t="s">
        <v>297</v>
      </c>
      <c r="F7" s="349" t="s">
        <v>27</v>
      </c>
      <c r="G7" s="349" t="s">
        <v>28</v>
      </c>
      <c r="H7" s="349" t="s">
        <v>29</v>
      </c>
      <c r="I7" s="349" t="s">
        <v>30</v>
      </c>
      <c r="J7" s="349" t="s">
        <v>31</v>
      </c>
      <c r="K7" s="349" t="s">
        <v>25</v>
      </c>
      <c r="L7" s="349" t="s">
        <v>32</v>
      </c>
    </row>
    <row r="8" spans="2:14" ht="3" customHeight="1" x14ac:dyDescent="0.25"/>
    <row r="9" spans="2:14" ht="15.75" customHeight="1" thickBot="1" x14ac:dyDescent="0.3">
      <c r="B9" s="379" t="s">
        <v>295</v>
      </c>
      <c r="C9" s="379"/>
      <c r="D9" s="379"/>
      <c r="E9" s="379"/>
      <c r="F9" s="379"/>
      <c r="G9" s="379"/>
      <c r="H9" s="379"/>
      <c r="I9" s="379"/>
      <c r="J9" s="379"/>
      <c r="K9" s="379"/>
      <c r="L9" s="379"/>
      <c r="M9" s="232" t="s">
        <v>372</v>
      </c>
      <c r="N9" s="232" t="s">
        <v>373</v>
      </c>
    </row>
    <row r="10" spans="2:14" ht="24.75" thickBot="1" x14ac:dyDescent="0.3">
      <c r="B10" s="365" t="s">
        <v>41</v>
      </c>
      <c r="C10" s="365" t="s">
        <v>64</v>
      </c>
      <c r="D10" s="365" t="s">
        <v>62</v>
      </c>
      <c r="E10" s="365" t="s">
        <v>63</v>
      </c>
      <c r="F10" s="372">
        <v>3260</v>
      </c>
      <c r="G10" s="372">
        <v>2330</v>
      </c>
      <c r="H10" s="372">
        <v>2960</v>
      </c>
      <c r="I10" s="372">
        <v>2790</v>
      </c>
      <c r="J10" s="372">
        <v>2360</v>
      </c>
      <c r="K10" s="373">
        <v>305</v>
      </c>
      <c r="L10" s="373">
        <v>301</v>
      </c>
      <c r="M10" s="350">
        <f>MAX(F10:L10)</f>
        <v>3260</v>
      </c>
      <c r="N10" s="350">
        <f>MIN(F10:L10)</f>
        <v>301</v>
      </c>
    </row>
    <row r="11" spans="2:14" ht="15.75" thickBot="1" x14ac:dyDescent="0.3">
      <c r="B11" s="365" t="s">
        <v>23</v>
      </c>
      <c r="C11" s="366" t="s">
        <v>37</v>
      </c>
      <c r="D11" s="366" t="s">
        <v>65</v>
      </c>
      <c r="E11" s="365" t="s">
        <v>66</v>
      </c>
      <c r="F11" s="374">
        <v>8.0299999999999994</v>
      </c>
      <c r="G11" s="374">
        <v>7.62</v>
      </c>
      <c r="H11" s="374">
        <v>7.9</v>
      </c>
      <c r="I11" s="374">
        <v>7.96</v>
      </c>
      <c r="J11" s="374">
        <v>8.14</v>
      </c>
      <c r="K11" s="374">
        <v>8.4700000000000006</v>
      </c>
      <c r="L11" s="374">
        <v>8.35</v>
      </c>
      <c r="M11" s="352">
        <f t="shared" ref="M11:M34" si="0">MAX(F11:L11)</f>
        <v>8.4700000000000006</v>
      </c>
      <c r="N11" s="352">
        <f t="shared" ref="N11:N34" si="1">MIN(F11:L11)</f>
        <v>7.62</v>
      </c>
    </row>
    <row r="12" spans="2:14" ht="24.75" thickBot="1" x14ac:dyDescent="0.3">
      <c r="B12" s="365" t="s">
        <v>38</v>
      </c>
      <c r="C12" s="365" t="s">
        <v>24</v>
      </c>
      <c r="D12" s="366" t="s">
        <v>37</v>
      </c>
      <c r="E12" s="366" t="s">
        <v>37</v>
      </c>
      <c r="F12" s="372">
        <v>1540</v>
      </c>
      <c r="G12" s="372">
        <v>1081</v>
      </c>
      <c r="H12" s="372">
        <v>1360</v>
      </c>
      <c r="I12" s="372">
        <v>1306</v>
      </c>
      <c r="J12" s="372">
        <v>1124</v>
      </c>
      <c r="K12" s="372">
        <v>143.80000000000001</v>
      </c>
      <c r="L12" s="373">
        <v>144.5</v>
      </c>
      <c r="M12" s="350">
        <f t="shared" si="0"/>
        <v>1540</v>
      </c>
      <c r="N12" s="350">
        <f t="shared" si="1"/>
        <v>143.80000000000001</v>
      </c>
    </row>
    <row r="13" spans="2:14" ht="15.75" thickBot="1" x14ac:dyDescent="0.3">
      <c r="B13" s="365" t="s">
        <v>39</v>
      </c>
      <c r="C13" s="365" t="s">
        <v>40</v>
      </c>
      <c r="D13" s="366" t="s">
        <v>37</v>
      </c>
      <c r="E13" s="366" t="s">
        <v>37</v>
      </c>
      <c r="F13" s="373">
        <v>29</v>
      </c>
      <c r="G13" s="373">
        <v>29.1</v>
      </c>
      <c r="H13" s="373">
        <v>30</v>
      </c>
      <c r="I13" s="373">
        <v>29</v>
      </c>
      <c r="J13" s="373">
        <v>28</v>
      </c>
      <c r="K13" s="373">
        <v>25.1</v>
      </c>
      <c r="L13" s="373">
        <v>24.4</v>
      </c>
      <c r="M13" s="350">
        <f t="shared" si="0"/>
        <v>30</v>
      </c>
      <c r="N13" s="350">
        <f t="shared" si="1"/>
        <v>24.4</v>
      </c>
    </row>
    <row r="14" spans="2:14" ht="15.75" thickBot="1" x14ac:dyDescent="0.3">
      <c r="B14" s="365" t="s">
        <v>327</v>
      </c>
      <c r="C14" s="365" t="s">
        <v>53</v>
      </c>
      <c r="D14" s="366" t="s">
        <v>37</v>
      </c>
      <c r="E14" s="366" t="s">
        <v>37</v>
      </c>
      <c r="F14" s="375">
        <v>7.17</v>
      </c>
      <c r="G14" s="375">
        <v>10.3</v>
      </c>
      <c r="H14" s="375">
        <v>7.54</v>
      </c>
      <c r="I14" s="375">
        <v>12.2</v>
      </c>
      <c r="J14" s="375">
        <v>13.3</v>
      </c>
      <c r="K14" s="375">
        <v>142</v>
      </c>
      <c r="L14" s="375">
        <v>46.7</v>
      </c>
      <c r="M14" s="350">
        <f t="shared" si="0"/>
        <v>142</v>
      </c>
      <c r="N14" s="350">
        <f t="shared" si="1"/>
        <v>7.17</v>
      </c>
    </row>
    <row r="15" spans="2:14" ht="15.75" customHeight="1" thickBot="1" x14ac:dyDescent="0.3">
      <c r="B15" s="379" t="s">
        <v>294</v>
      </c>
      <c r="C15" s="379"/>
      <c r="D15" s="379"/>
      <c r="E15" s="379"/>
      <c r="F15" s="379"/>
      <c r="G15" s="379"/>
      <c r="H15" s="379"/>
      <c r="I15" s="379"/>
      <c r="J15" s="379"/>
      <c r="K15" s="379"/>
      <c r="L15" s="379"/>
      <c r="M15" s="350">
        <f t="shared" si="0"/>
        <v>0</v>
      </c>
      <c r="N15" s="350">
        <f t="shared" si="1"/>
        <v>0</v>
      </c>
    </row>
    <row r="16" spans="2:14" ht="1.5" customHeight="1" thickBot="1" x14ac:dyDescent="0.3">
      <c r="M16" s="350">
        <f t="shared" si="0"/>
        <v>0</v>
      </c>
      <c r="N16" s="350">
        <f t="shared" si="1"/>
        <v>0</v>
      </c>
    </row>
    <row r="17" spans="1:14" ht="15.75" thickBot="1" x14ac:dyDescent="0.3">
      <c r="B17" s="367" t="s">
        <v>326</v>
      </c>
      <c r="C17" s="367" t="s">
        <v>54</v>
      </c>
      <c r="D17" s="367">
        <v>100</v>
      </c>
      <c r="E17" s="367">
        <v>100</v>
      </c>
      <c r="F17" s="356">
        <v>27.1</v>
      </c>
      <c r="G17" s="364">
        <v>30.6</v>
      </c>
      <c r="H17" s="356">
        <v>29.9</v>
      </c>
      <c r="I17" s="356">
        <v>33.5</v>
      </c>
      <c r="J17" s="356">
        <v>40</v>
      </c>
      <c r="K17" s="356">
        <v>44.5</v>
      </c>
      <c r="L17" s="356">
        <v>82.4</v>
      </c>
      <c r="M17" s="352">
        <f t="shared" si="0"/>
        <v>82.4</v>
      </c>
      <c r="N17" s="352">
        <f t="shared" si="1"/>
        <v>27.1</v>
      </c>
    </row>
    <row r="18" spans="1:14" ht="15.75" thickBot="1" x14ac:dyDescent="0.3">
      <c r="B18" s="367" t="s">
        <v>374</v>
      </c>
      <c r="C18" s="367" t="s">
        <v>54</v>
      </c>
      <c r="D18" s="367">
        <v>10</v>
      </c>
      <c r="E18" s="368">
        <v>10</v>
      </c>
      <c r="F18" s="364">
        <v>7</v>
      </c>
      <c r="G18" s="378">
        <v>7</v>
      </c>
      <c r="H18" s="364">
        <v>11</v>
      </c>
      <c r="I18" s="364">
        <v>8</v>
      </c>
      <c r="J18" s="364">
        <v>8</v>
      </c>
      <c r="K18" s="364">
        <v>8</v>
      </c>
      <c r="L18" s="364">
        <v>8</v>
      </c>
      <c r="M18" s="352">
        <f t="shared" si="0"/>
        <v>11</v>
      </c>
      <c r="N18" s="352">
        <f t="shared" si="1"/>
        <v>7</v>
      </c>
    </row>
    <row r="19" spans="1:14" ht="24.75" thickBot="1" x14ac:dyDescent="0.3">
      <c r="B19" s="367" t="s">
        <v>333</v>
      </c>
      <c r="C19" s="367" t="s">
        <v>54</v>
      </c>
      <c r="D19" s="367" t="s">
        <v>69</v>
      </c>
      <c r="E19" s="367">
        <v>1</v>
      </c>
      <c r="F19" s="360">
        <v>2.8000000000000001E-2</v>
      </c>
      <c r="G19" s="362">
        <v>2.3E-2</v>
      </c>
      <c r="H19" s="361">
        <v>3.4000000000000002E-2</v>
      </c>
      <c r="I19" s="362">
        <v>6.5000000000000002E-2</v>
      </c>
      <c r="J19" s="362">
        <v>1.7999999999999999E-2</v>
      </c>
      <c r="K19" s="362">
        <v>4.5999999999999999E-2</v>
      </c>
      <c r="L19" s="360">
        <v>5.7000000000000002E-2</v>
      </c>
      <c r="M19" s="352">
        <f t="shared" si="0"/>
        <v>6.5000000000000002E-2</v>
      </c>
      <c r="N19" s="351">
        <f t="shared" si="1"/>
        <v>1.7999999999999999E-2</v>
      </c>
    </row>
    <row r="20" spans="1:14" ht="15.75" thickBot="1" x14ac:dyDescent="0.3">
      <c r="B20" s="367" t="s">
        <v>51</v>
      </c>
      <c r="C20" s="367" t="s">
        <v>54</v>
      </c>
      <c r="D20" s="367" t="s">
        <v>67</v>
      </c>
      <c r="E20" s="367" t="s">
        <v>68</v>
      </c>
      <c r="F20" s="358">
        <v>0.54</v>
      </c>
      <c r="G20" s="358">
        <v>4.01</v>
      </c>
      <c r="H20" s="358">
        <v>2.4</v>
      </c>
      <c r="I20" s="358">
        <v>2.89</v>
      </c>
      <c r="J20" s="358">
        <v>0.19</v>
      </c>
      <c r="K20" s="358">
        <v>0.81</v>
      </c>
      <c r="L20" s="358">
        <v>0.39</v>
      </c>
      <c r="M20" s="352">
        <f t="shared" si="0"/>
        <v>4.01</v>
      </c>
      <c r="N20" s="352">
        <f t="shared" si="1"/>
        <v>0.19</v>
      </c>
    </row>
    <row r="21" spans="1:14" ht="15.75" thickBot="1" x14ac:dyDescent="0.3">
      <c r="B21" s="367" t="s">
        <v>49</v>
      </c>
      <c r="C21" s="367" t="s">
        <v>54</v>
      </c>
      <c r="D21" s="367" t="s">
        <v>67</v>
      </c>
      <c r="E21" s="367" t="s">
        <v>67</v>
      </c>
      <c r="F21" s="358">
        <v>0.4</v>
      </c>
      <c r="G21" s="358">
        <v>0.3</v>
      </c>
      <c r="H21" s="358">
        <v>0.4</v>
      </c>
      <c r="I21" s="358">
        <v>0.6</v>
      </c>
      <c r="J21" s="358">
        <v>0.3</v>
      </c>
      <c r="K21" s="358">
        <v>0.7</v>
      </c>
      <c r="L21" s="356">
        <v>0.7</v>
      </c>
      <c r="M21" s="352">
        <f t="shared" si="0"/>
        <v>0.7</v>
      </c>
      <c r="N21" s="352">
        <f t="shared" si="1"/>
        <v>0.3</v>
      </c>
    </row>
    <row r="22" spans="1:14" ht="15.75" thickBot="1" x14ac:dyDescent="0.3">
      <c r="B22" s="367" t="s">
        <v>46</v>
      </c>
      <c r="C22" s="367" t="s">
        <v>54</v>
      </c>
      <c r="D22" s="367" t="s">
        <v>59</v>
      </c>
      <c r="E22" s="367" t="s">
        <v>59</v>
      </c>
      <c r="F22" s="371">
        <v>114</v>
      </c>
      <c r="G22" s="371">
        <v>102</v>
      </c>
      <c r="H22" s="371">
        <v>112</v>
      </c>
      <c r="I22" s="371">
        <v>108</v>
      </c>
      <c r="J22" s="371">
        <v>105</v>
      </c>
      <c r="K22" s="371">
        <v>76</v>
      </c>
      <c r="L22" s="371">
        <v>75</v>
      </c>
      <c r="M22" s="352">
        <f t="shared" si="0"/>
        <v>114</v>
      </c>
      <c r="N22" s="352">
        <f t="shared" si="1"/>
        <v>75</v>
      </c>
    </row>
    <row r="23" spans="1:14" ht="15.75" thickBot="1" x14ac:dyDescent="0.3">
      <c r="B23" s="367" t="s">
        <v>50</v>
      </c>
      <c r="C23" s="367" t="s">
        <v>54</v>
      </c>
      <c r="D23" s="367">
        <v>5</v>
      </c>
      <c r="E23" s="367" t="s">
        <v>37</v>
      </c>
      <c r="F23" s="353">
        <v>0.27</v>
      </c>
      <c r="G23" s="353">
        <v>0.38</v>
      </c>
      <c r="H23" s="353">
        <v>0.22</v>
      </c>
      <c r="I23" s="353">
        <v>0.35</v>
      </c>
      <c r="J23" s="353">
        <v>0.54</v>
      </c>
      <c r="K23" s="353">
        <v>2.19</v>
      </c>
      <c r="L23" s="353">
        <v>2.2200000000000002</v>
      </c>
      <c r="M23" s="352">
        <f t="shared" si="0"/>
        <v>2.2200000000000002</v>
      </c>
      <c r="N23" s="352">
        <f t="shared" si="1"/>
        <v>0.22</v>
      </c>
    </row>
    <row r="24" spans="1:14" ht="15.75" thickBot="1" x14ac:dyDescent="0.3">
      <c r="B24" s="367" t="s">
        <v>334</v>
      </c>
      <c r="C24" s="367" t="s">
        <v>54</v>
      </c>
      <c r="D24" s="367">
        <v>2</v>
      </c>
      <c r="E24" s="367">
        <v>24</v>
      </c>
      <c r="F24" s="357">
        <v>0.18</v>
      </c>
      <c r="G24" s="357">
        <v>0.08</v>
      </c>
      <c r="H24" s="357">
        <v>0.06</v>
      </c>
      <c r="I24" s="357">
        <v>0.01</v>
      </c>
      <c r="J24" s="357">
        <v>0.1</v>
      </c>
      <c r="K24" s="357">
        <v>0.32</v>
      </c>
      <c r="L24" s="357">
        <v>0.28999999999999998</v>
      </c>
      <c r="M24" s="352">
        <f t="shared" si="0"/>
        <v>0.32</v>
      </c>
      <c r="N24" s="352">
        <f t="shared" si="1"/>
        <v>0.01</v>
      </c>
    </row>
    <row r="25" spans="1:14" ht="15.75" thickBot="1" x14ac:dyDescent="0.3">
      <c r="A25" s="340"/>
      <c r="B25" s="367" t="s">
        <v>378</v>
      </c>
      <c r="C25" s="367" t="s">
        <v>54</v>
      </c>
      <c r="D25" s="367" t="s">
        <v>37</v>
      </c>
      <c r="E25" s="367" t="s">
        <v>37</v>
      </c>
      <c r="F25" s="376">
        <v>1018</v>
      </c>
      <c r="G25" s="376">
        <v>1032</v>
      </c>
      <c r="H25" s="376">
        <v>587</v>
      </c>
      <c r="I25" s="376">
        <v>717</v>
      </c>
      <c r="J25" s="376">
        <v>609</v>
      </c>
      <c r="K25" s="376">
        <v>199</v>
      </c>
      <c r="L25" s="377">
        <v>169</v>
      </c>
      <c r="M25" s="352">
        <f t="shared" si="0"/>
        <v>1032</v>
      </c>
      <c r="N25" s="352">
        <f t="shared" si="1"/>
        <v>169</v>
      </c>
    </row>
    <row r="26" spans="1:14" ht="15.75" thickBot="1" x14ac:dyDescent="0.3">
      <c r="B26" s="367" t="s">
        <v>377</v>
      </c>
      <c r="C26" s="367" t="s">
        <v>54</v>
      </c>
      <c r="D26" s="367">
        <v>500</v>
      </c>
      <c r="E26" s="367" t="s">
        <v>37</v>
      </c>
      <c r="F26" s="376">
        <v>8723</v>
      </c>
      <c r="G26" s="376">
        <v>6970</v>
      </c>
      <c r="H26" s="376">
        <v>4282</v>
      </c>
      <c r="I26" s="376">
        <v>5430</v>
      </c>
      <c r="J26" s="376">
        <v>5137</v>
      </c>
      <c r="K26" s="376">
        <v>777</v>
      </c>
      <c r="L26" s="377">
        <v>741</v>
      </c>
      <c r="M26" s="350">
        <f t="shared" si="0"/>
        <v>8723</v>
      </c>
      <c r="N26" s="350">
        <f t="shared" si="1"/>
        <v>741</v>
      </c>
    </row>
    <row r="27" spans="1:14" ht="15.75" thickBot="1" x14ac:dyDescent="0.3">
      <c r="B27" s="367" t="s">
        <v>379</v>
      </c>
      <c r="C27" s="367" t="s">
        <v>54</v>
      </c>
      <c r="D27" s="367" t="s">
        <v>37</v>
      </c>
      <c r="E27" s="368" t="s">
        <v>37</v>
      </c>
      <c r="F27" s="376">
        <v>1005</v>
      </c>
      <c r="G27" s="376">
        <v>467</v>
      </c>
      <c r="H27" s="376">
        <v>996</v>
      </c>
      <c r="I27" s="376">
        <v>1009</v>
      </c>
      <c r="J27" s="376">
        <v>1120</v>
      </c>
      <c r="K27" s="376">
        <v>289</v>
      </c>
      <c r="L27" s="376">
        <v>228</v>
      </c>
      <c r="M27" s="352">
        <f t="shared" si="0"/>
        <v>1120</v>
      </c>
      <c r="N27" s="352">
        <f t="shared" si="1"/>
        <v>228</v>
      </c>
    </row>
    <row r="28" spans="1:14" ht="15.75" thickBot="1" x14ac:dyDescent="0.3">
      <c r="B28" s="367" t="s">
        <v>380</v>
      </c>
      <c r="C28" s="367" t="s">
        <v>54</v>
      </c>
      <c r="D28" s="367" t="s">
        <v>37</v>
      </c>
      <c r="E28" s="368" t="s">
        <v>37</v>
      </c>
      <c r="F28" s="363">
        <v>19</v>
      </c>
      <c r="G28" s="363">
        <v>10</v>
      </c>
      <c r="H28" s="363">
        <v>12</v>
      </c>
      <c r="I28" s="363">
        <v>10</v>
      </c>
      <c r="J28" s="363">
        <v>10</v>
      </c>
      <c r="K28" s="363">
        <v>4</v>
      </c>
      <c r="L28" s="363">
        <v>3</v>
      </c>
      <c r="M28" s="352">
        <f t="shared" si="0"/>
        <v>19</v>
      </c>
      <c r="N28" s="352">
        <f t="shared" si="1"/>
        <v>3</v>
      </c>
    </row>
    <row r="29" spans="1:14" ht="15.75" thickBot="1" x14ac:dyDescent="0.3">
      <c r="B29" s="367" t="s">
        <v>382</v>
      </c>
      <c r="C29" s="367" t="s">
        <v>54</v>
      </c>
      <c r="D29" s="367" t="s">
        <v>37</v>
      </c>
      <c r="E29" s="368" t="s">
        <v>37</v>
      </c>
      <c r="F29" s="363">
        <v>148</v>
      </c>
      <c r="G29" s="363">
        <v>128</v>
      </c>
      <c r="H29" s="363">
        <v>124</v>
      </c>
      <c r="I29" s="363">
        <v>201</v>
      </c>
      <c r="J29" s="363">
        <v>197</v>
      </c>
      <c r="K29" s="363">
        <v>100</v>
      </c>
      <c r="L29" s="363">
        <v>107</v>
      </c>
      <c r="M29" s="352">
        <f t="shared" si="0"/>
        <v>201</v>
      </c>
      <c r="N29" s="352">
        <f t="shared" si="1"/>
        <v>100</v>
      </c>
    </row>
    <row r="30" spans="1:14" ht="15.75" customHeight="1" thickBot="1" x14ac:dyDescent="0.3">
      <c r="B30" s="367" t="s">
        <v>381</v>
      </c>
      <c r="C30" s="367" t="s">
        <v>54</v>
      </c>
      <c r="D30" s="367" t="s">
        <v>37</v>
      </c>
      <c r="E30" s="367">
        <v>250</v>
      </c>
      <c r="F30" s="376">
        <v>5823</v>
      </c>
      <c r="G30" s="376">
        <v>5229</v>
      </c>
      <c r="H30" s="376">
        <v>4993</v>
      </c>
      <c r="I30" s="376">
        <v>8992</v>
      </c>
      <c r="J30" s="376">
        <v>3685</v>
      </c>
      <c r="K30" s="376">
        <v>2420</v>
      </c>
      <c r="L30" s="376">
        <v>4003</v>
      </c>
      <c r="M30" s="352">
        <f t="shared" si="0"/>
        <v>8992</v>
      </c>
      <c r="N30" s="352">
        <f t="shared" si="1"/>
        <v>2420</v>
      </c>
    </row>
    <row r="31" spans="1:14" ht="15.75" customHeight="1" thickBot="1" x14ac:dyDescent="0.3">
      <c r="B31" s="379" t="s">
        <v>293</v>
      </c>
      <c r="C31" s="379"/>
      <c r="D31" s="379"/>
      <c r="E31" s="379"/>
      <c r="F31" s="379"/>
      <c r="G31" s="379"/>
      <c r="H31" s="379"/>
      <c r="I31" s="379"/>
      <c r="J31" s="379"/>
      <c r="K31" s="379"/>
      <c r="L31" s="379"/>
      <c r="M31" s="350">
        <f t="shared" si="0"/>
        <v>0</v>
      </c>
      <c r="N31" s="352">
        <f t="shared" si="1"/>
        <v>0</v>
      </c>
    </row>
    <row r="32" spans="1:14" ht="1.5" customHeight="1" thickBot="1" x14ac:dyDescent="0.3">
      <c r="M32" s="350">
        <f t="shared" si="0"/>
        <v>0</v>
      </c>
      <c r="N32" s="350">
        <f t="shared" si="1"/>
        <v>0</v>
      </c>
    </row>
    <row r="33" spans="2:14" ht="24.75" thickBot="1" x14ac:dyDescent="0.3">
      <c r="B33" s="367" t="s">
        <v>57</v>
      </c>
      <c r="C33" s="367" t="s">
        <v>58</v>
      </c>
      <c r="D33" s="368" t="s">
        <v>37</v>
      </c>
      <c r="E33" s="368" t="s">
        <v>37</v>
      </c>
      <c r="F33" s="364">
        <v>1100</v>
      </c>
      <c r="G33" s="364">
        <v>1100</v>
      </c>
      <c r="H33" s="364">
        <v>1100</v>
      </c>
      <c r="I33" s="363">
        <v>460</v>
      </c>
      <c r="J33" s="363">
        <v>460</v>
      </c>
      <c r="K33" s="363">
        <v>460</v>
      </c>
      <c r="L33" s="363">
        <v>240</v>
      </c>
      <c r="M33" s="350">
        <f t="shared" si="0"/>
        <v>1100</v>
      </c>
      <c r="N33" s="350">
        <f t="shared" si="1"/>
        <v>240</v>
      </c>
    </row>
    <row r="34" spans="2:14" ht="24.75" thickBot="1" x14ac:dyDescent="0.3">
      <c r="B34" s="367" t="s">
        <v>55</v>
      </c>
      <c r="C34" s="367" t="s">
        <v>58</v>
      </c>
      <c r="D34" s="367" t="s">
        <v>59</v>
      </c>
      <c r="E34" s="367" t="s">
        <v>59</v>
      </c>
      <c r="F34" s="364">
        <v>1100</v>
      </c>
      <c r="G34" s="364">
        <v>1100</v>
      </c>
      <c r="H34" s="364">
        <v>1100</v>
      </c>
      <c r="I34" s="363">
        <v>460</v>
      </c>
      <c r="J34" s="363">
        <v>460</v>
      </c>
      <c r="K34" s="363">
        <v>460</v>
      </c>
      <c r="L34" s="363">
        <v>240</v>
      </c>
      <c r="M34" s="350">
        <f t="shared" si="0"/>
        <v>1100</v>
      </c>
      <c r="N34" s="350">
        <f t="shared" si="1"/>
        <v>240</v>
      </c>
    </row>
    <row r="36" spans="2:14" ht="15.75" thickBot="1" x14ac:dyDescent="0.3">
      <c r="B36" s="26"/>
      <c r="C36" s="26"/>
    </row>
    <row r="37" spans="2:14" ht="15.75" thickBot="1" x14ac:dyDescent="0.3">
      <c r="B37" s="357" t="s">
        <v>89</v>
      </c>
      <c r="C37" s="357" t="s">
        <v>54</v>
      </c>
      <c r="D37" s="369"/>
      <c r="E37" s="369"/>
      <c r="F37" s="367">
        <v>1000</v>
      </c>
      <c r="G37" s="367">
        <v>1000</v>
      </c>
      <c r="H37" s="367">
        <v>1000</v>
      </c>
      <c r="I37" s="367">
        <v>1000</v>
      </c>
      <c r="J37" s="367">
        <v>1000</v>
      </c>
      <c r="K37" s="367">
        <v>1000</v>
      </c>
      <c r="L37" s="367">
        <v>1000</v>
      </c>
    </row>
    <row r="38" spans="2:14" ht="15.75" thickBot="1" x14ac:dyDescent="0.3">
      <c r="B38" s="357" t="s">
        <v>89</v>
      </c>
      <c r="C38" s="357" t="s">
        <v>54</v>
      </c>
      <c r="D38" s="369"/>
      <c r="E38" s="369"/>
      <c r="F38" s="367">
        <v>100</v>
      </c>
      <c r="G38" s="367">
        <v>100</v>
      </c>
      <c r="H38" s="367">
        <v>100</v>
      </c>
      <c r="I38" s="367">
        <v>100</v>
      </c>
      <c r="J38" s="367">
        <v>100</v>
      </c>
      <c r="K38" s="367">
        <v>100</v>
      </c>
      <c r="L38" s="367">
        <v>100</v>
      </c>
    </row>
    <row r="39" spans="2:14" ht="24.75" thickBot="1" x14ac:dyDescent="0.3">
      <c r="B39" s="357" t="s">
        <v>125</v>
      </c>
      <c r="C39" s="357" t="s">
        <v>54</v>
      </c>
      <c r="D39" s="369"/>
      <c r="E39" s="369"/>
      <c r="F39" s="367">
        <v>0.2</v>
      </c>
      <c r="G39" s="367">
        <v>0.2</v>
      </c>
      <c r="H39" s="367">
        <v>0.2</v>
      </c>
      <c r="I39" s="367">
        <v>0.2</v>
      </c>
      <c r="J39" s="367">
        <v>0.2</v>
      </c>
      <c r="K39" s="367">
        <v>0.2</v>
      </c>
      <c r="L39" s="367">
        <v>0.2</v>
      </c>
    </row>
    <row r="40" spans="2:14" ht="24.75" thickBot="1" x14ac:dyDescent="0.3">
      <c r="B40" s="357" t="s">
        <v>126</v>
      </c>
      <c r="C40" s="357" t="s">
        <v>54</v>
      </c>
      <c r="D40" s="369"/>
      <c r="E40" s="369"/>
      <c r="F40" s="367">
        <v>0.5</v>
      </c>
      <c r="G40" s="367">
        <v>0.5</v>
      </c>
      <c r="H40" s="367">
        <v>0.5</v>
      </c>
      <c r="I40" s="367">
        <v>0.5</v>
      </c>
      <c r="J40" s="367">
        <v>0.5</v>
      </c>
      <c r="K40" s="367">
        <v>0.5</v>
      </c>
      <c r="L40" s="367">
        <v>0.5</v>
      </c>
    </row>
    <row r="41" spans="2:14" ht="24.75" thickBot="1" x14ac:dyDescent="0.3">
      <c r="B41" s="357" t="s">
        <v>125</v>
      </c>
      <c r="C41" s="357" t="s">
        <v>54</v>
      </c>
      <c r="D41" s="369"/>
      <c r="E41" s="369"/>
      <c r="F41" s="367">
        <v>500</v>
      </c>
      <c r="G41" s="367">
        <v>500</v>
      </c>
      <c r="H41" s="367">
        <v>500</v>
      </c>
      <c r="I41" s="367">
        <v>500</v>
      </c>
      <c r="J41" s="367">
        <v>500</v>
      </c>
      <c r="K41" s="367">
        <v>500</v>
      </c>
      <c r="L41" s="367">
        <v>500</v>
      </c>
    </row>
    <row r="42" spans="2:14" ht="36.75" thickBot="1" x14ac:dyDescent="0.3">
      <c r="B42" s="357" t="s">
        <v>336</v>
      </c>
      <c r="C42" s="357" t="s">
        <v>54</v>
      </c>
      <c r="D42" s="369"/>
      <c r="E42" s="369"/>
      <c r="F42" s="367">
        <v>0.2</v>
      </c>
      <c r="G42" s="367">
        <v>0.2</v>
      </c>
      <c r="H42" s="367">
        <v>0.2</v>
      </c>
      <c r="I42" s="367">
        <v>0.2</v>
      </c>
      <c r="J42" s="367">
        <v>0.2</v>
      </c>
      <c r="K42" s="367">
        <v>0.2</v>
      </c>
      <c r="L42" s="367">
        <v>0.2</v>
      </c>
    </row>
    <row r="43" spans="2:14" ht="36.75" thickBot="1" x14ac:dyDescent="0.3">
      <c r="B43" s="357" t="s">
        <v>336</v>
      </c>
      <c r="C43" s="357" t="s">
        <v>54</v>
      </c>
      <c r="D43" s="369"/>
      <c r="E43" s="369"/>
      <c r="F43" s="367">
        <v>10</v>
      </c>
      <c r="G43" s="367">
        <v>10</v>
      </c>
      <c r="H43" s="367">
        <v>10</v>
      </c>
      <c r="I43" s="367">
        <v>10</v>
      </c>
      <c r="J43" s="367">
        <v>10</v>
      </c>
      <c r="K43" s="367">
        <v>10</v>
      </c>
      <c r="L43" s="367">
        <v>10</v>
      </c>
    </row>
    <row r="44" spans="2:14" ht="24.75" thickBot="1" x14ac:dyDescent="0.3">
      <c r="B44" s="357" t="s">
        <v>125</v>
      </c>
      <c r="C44" s="357" t="s">
        <v>54</v>
      </c>
      <c r="D44" s="369"/>
      <c r="E44" s="369"/>
      <c r="F44" s="367">
        <v>5</v>
      </c>
      <c r="G44" s="367">
        <v>5</v>
      </c>
      <c r="H44" s="367">
        <v>5</v>
      </c>
      <c r="I44" s="367">
        <v>5</v>
      </c>
      <c r="J44" s="367">
        <v>5</v>
      </c>
      <c r="K44" s="367">
        <v>5</v>
      </c>
      <c r="L44" s="367">
        <v>5</v>
      </c>
    </row>
    <row r="45" spans="2:14" ht="24.75" thickBot="1" x14ac:dyDescent="0.3">
      <c r="B45" s="357" t="s">
        <v>125</v>
      </c>
      <c r="C45" s="357" t="s">
        <v>54</v>
      </c>
      <c r="D45" s="369"/>
      <c r="E45" s="369"/>
      <c r="F45" s="367">
        <v>0.1</v>
      </c>
      <c r="G45" s="367">
        <v>0.1</v>
      </c>
      <c r="H45" s="367">
        <v>0.1</v>
      </c>
      <c r="I45" s="367">
        <v>0.1</v>
      </c>
      <c r="J45" s="367">
        <v>0.1</v>
      </c>
      <c r="K45" s="367">
        <v>0.1</v>
      </c>
      <c r="L45" s="367">
        <v>0.1</v>
      </c>
    </row>
    <row r="46" spans="2:14" ht="24.75" thickBot="1" x14ac:dyDescent="0.3">
      <c r="B46" s="357" t="s">
        <v>125</v>
      </c>
      <c r="C46" s="357" t="s">
        <v>54</v>
      </c>
      <c r="D46" s="369"/>
      <c r="E46" s="369"/>
      <c r="F46" s="367">
        <v>2</v>
      </c>
      <c r="G46" s="367">
        <v>2</v>
      </c>
      <c r="H46" s="367">
        <v>2</v>
      </c>
      <c r="I46" s="367">
        <v>2</v>
      </c>
      <c r="J46" s="367">
        <v>2</v>
      </c>
      <c r="K46" s="367">
        <v>2</v>
      </c>
      <c r="L46" s="367">
        <v>2</v>
      </c>
    </row>
  </sheetData>
  <mergeCells count="8">
    <mergeCell ref="B15:L15"/>
    <mergeCell ref="B31:L31"/>
    <mergeCell ref="B4:L4"/>
    <mergeCell ref="B6:B7"/>
    <mergeCell ref="C6:C7"/>
    <mergeCell ref="D6:E6"/>
    <mergeCell ref="F6:L6"/>
    <mergeCell ref="B9:L9"/>
  </mergeCells>
  <pageMargins left="0.7" right="0.7" top="0.75" bottom="0.75" header="0.3" footer="0.3"/>
  <pageSetup paperSize="9" scale="5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N31"/>
  <sheetViews>
    <sheetView showGridLines="0" view="pageBreakPreview" topLeftCell="A7" zoomScaleNormal="145" zoomScaleSheetLayoutView="100" workbookViewId="0">
      <selection activeCell="B4" sqref="B4:L28"/>
    </sheetView>
  </sheetViews>
  <sheetFormatPr baseColWidth="10" defaultColWidth="11.42578125" defaultRowHeight="15" x14ac:dyDescent="0.25"/>
  <cols>
    <col min="2" max="2" width="15.7109375" customWidth="1"/>
    <col min="3" max="3" width="10.28515625" customWidth="1"/>
    <col min="4" max="4" width="10.42578125" customWidth="1"/>
    <col min="5" max="5" width="11.28515625" customWidth="1"/>
    <col min="6" max="6" width="8.42578125" customWidth="1"/>
    <col min="7" max="7" width="7.5703125" customWidth="1"/>
    <col min="8" max="8" width="7.7109375" customWidth="1"/>
    <col min="9" max="9" width="9.28515625" customWidth="1"/>
    <col min="10" max="10" width="8.85546875" customWidth="1"/>
    <col min="11" max="11" width="7.140625" customWidth="1"/>
    <col min="12" max="12" width="21.140625" customWidth="1"/>
  </cols>
  <sheetData>
    <row r="1" spans="2:14" ht="6" customHeight="1" x14ac:dyDescent="0.25"/>
    <row r="2" spans="2:14" ht="6" customHeight="1" x14ac:dyDescent="0.25"/>
    <row r="3" spans="2:14" ht="6.75" customHeight="1" x14ac:dyDescent="0.25"/>
    <row r="4" spans="2:14" ht="37.5" customHeight="1" x14ac:dyDescent="0.25">
      <c r="B4" s="396" t="s">
        <v>371</v>
      </c>
      <c r="C4" s="397"/>
      <c r="D4" s="397"/>
      <c r="E4" s="397"/>
      <c r="F4" s="397"/>
      <c r="G4" s="397"/>
      <c r="H4" s="397"/>
      <c r="I4" s="397"/>
      <c r="J4" s="397"/>
      <c r="K4" s="397"/>
      <c r="L4" s="397"/>
    </row>
    <row r="5" spans="2:14" ht="2.25" customHeight="1" thickBot="1" x14ac:dyDescent="0.3"/>
    <row r="6" spans="2:14" ht="24.75" customHeight="1" thickBot="1" x14ac:dyDescent="0.3">
      <c r="B6" s="390" t="s">
        <v>34</v>
      </c>
      <c r="C6" s="390" t="s">
        <v>296</v>
      </c>
      <c r="D6" s="398" t="s">
        <v>33</v>
      </c>
      <c r="E6" s="398"/>
      <c r="F6" s="417" t="s">
        <v>137</v>
      </c>
      <c r="G6" s="412"/>
      <c r="H6" s="412"/>
      <c r="I6" s="412"/>
      <c r="J6" s="412"/>
      <c r="K6" s="412"/>
      <c r="L6" s="413"/>
    </row>
    <row r="7" spans="2:14" ht="29.25" customHeight="1" thickBot="1" x14ac:dyDescent="0.3">
      <c r="B7" s="391"/>
      <c r="C7" s="391"/>
      <c r="D7" s="19" t="s">
        <v>298</v>
      </c>
      <c r="E7" s="18" t="s">
        <v>297</v>
      </c>
      <c r="F7" s="24" t="s">
        <v>27</v>
      </c>
      <c r="G7" s="24" t="s">
        <v>28</v>
      </c>
      <c r="H7" s="24" t="s">
        <v>29</v>
      </c>
      <c r="I7" s="24" t="s">
        <v>30</v>
      </c>
      <c r="J7" s="24" t="s">
        <v>31</v>
      </c>
      <c r="K7" s="24" t="s">
        <v>25</v>
      </c>
      <c r="L7" s="24" t="s">
        <v>32</v>
      </c>
    </row>
    <row r="8" spans="2:14" ht="3" customHeight="1" x14ac:dyDescent="0.25"/>
    <row r="9" spans="2:14" ht="15.75" customHeight="1" thickBot="1" x14ac:dyDescent="0.3">
      <c r="B9" s="416" t="s">
        <v>295</v>
      </c>
      <c r="C9" s="416"/>
      <c r="D9" s="416"/>
      <c r="E9" s="416"/>
      <c r="F9" s="416"/>
      <c r="G9" s="416"/>
      <c r="H9" s="416"/>
      <c r="I9" s="416"/>
      <c r="J9" s="416"/>
      <c r="K9" s="416"/>
      <c r="L9" s="416"/>
    </row>
    <row r="10" spans="2:14" ht="24.75" thickBot="1" x14ac:dyDescent="0.3">
      <c r="B10" s="4" t="s">
        <v>41</v>
      </c>
      <c r="C10" s="4" t="s">
        <v>64</v>
      </c>
      <c r="D10" s="4" t="s">
        <v>62</v>
      </c>
      <c r="E10" s="4" t="s">
        <v>63</v>
      </c>
      <c r="F10" s="67">
        <f>3.44*1000</f>
        <v>3440</v>
      </c>
      <c r="G10" s="67">
        <f>2.33*1000</f>
        <v>2330</v>
      </c>
      <c r="H10" s="67">
        <f>2.99*1000</f>
        <v>2990</v>
      </c>
      <c r="I10" s="67">
        <f>2.8*1000</f>
        <v>2800</v>
      </c>
      <c r="J10" s="67">
        <f>2.51*1000</f>
        <v>2510</v>
      </c>
      <c r="K10" s="67">
        <v>303</v>
      </c>
      <c r="L10" s="70">
        <v>320</v>
      </c>
      <c r="M10" s="340">
        <f>MAX(F10:L10)</f>
        <v>3440</v>
      </c>
      <c r="N10" s="340">
        <f>MIN(F10:L10)</f>
        <v>303</v>
      </c>
    </row>
    <row r="11" spans="2:14" ht="15.75" thickBot="1" x14ac:dyDescent="0.3">
      <c r="B11" s="4" t="s">
        <v>23</v>
      </c>
      <c r="C11" s="14" t="s">
        <v>37</v>
      </c>
      <c r="D11" s="14" t="s">
        <v>65</v>
      </c>
      <c r="E11" s="4" t="s">
        <v>66</v>
      </c>
      <c r="F11" s="69">
        <v>7.4</v>
      </c>
      <c r="G11" s="69">
        <v>7.2</v>
      </c>
      <c r="H11" s="69">
        <v>7.6040000000000001</v>
      </c>
      <c r="I11" s="69">
        <v>7.7220000000000004</v>
      </c>
      <c r="J11" s="69">
        <v>7.8129999999999997</v>
      </c>
      <c r="K11" s="69">
        <v>8.1489999999999991</v>
      </c>
      <c r="L11" s="28">
        <v>8</v>
      </c>
      <c r="M11" s="341">
        <f t="shared" ref="M11:M28" si="0">MAX(F11:L11)</f>
        <v>8.1489999999999991</v>
      </c>
      <c r="N11" s="341">
        <f t="shared" ref="N11:N28" si="1">MIN(F11:L11)</f>
        <v>7.2</v>
      </c>
    </row>
    <row r="12" spans="2:14" ht="24.75" thickBot="1" x14ac:dyDescent="0.3">
      <c r="B12" s="4" t="s">
        <v>38</v>
      </c>
      <c r="C12" s="4" t="s">
        <v>24</v>
      </c>
      <c r="D12" s="14" t="s">
        <v>37</v>
      </c>
      <c r="E12" s="14" t="s">
        <v>37</v>
      </c>
      <c r="F12" s="67">
        <f>F10/2</f>
        <v>1720</v>
      </c>
      <c r="G12" s="67">
        <f t="shared" ref="G12:L12" si="2">G10/2</f>
        <v>1165</v>
      </c>
      <c r="H12" s="67">
        <f t="shared" si="2"/>
        <v>1495</v>
      </c>
      <c r="I12" s="67">
        <f t="shared" si="2"/>
        <v>1400</v>
      </c>
      <c r="J12" s="67">
        <f t="shared" si="2"/>
        <v>1255</v>
      </c>
      <c r="K12" s="67">
        <f t="shared" si="2"/>
        <v>151.5</v>
      </c>
      <c r="L12" s="70">
        <f t="shared" si="2"/>
        <v>160</v>
      </c>
      <c r="M12" s="340">
        <f t="shared" si="0"/>
        <v>1720</v>
      </c>
      <c r="N12" s="340">
        <f t="shared" si="1"/>
        <v>151.5</v>
      </c>
    </row>
    <row r="13" spans="2:14" ht="15.75" thickBot="1" x14ac:dyDescent="0.3">
      <c r="B13" s="4" t="s">
        <v>39</v>
      </c>
      <c r="C13" s="4" t="s">
        <v>40</v>
      </c>
      <c r="D13" s="14" t="s">
        <v>37</v>
      </c>
      <c r="E13" s="14" t="s">
        <v>37</v>
      </c>
      <c r="F13" s="343">
        <v>24</v>
      </c>
      <c r="G13" s="343">
        <v>23.8</v>
      </c>
      <c r="H13" s="343">
        <v>23.9</v>
      </c>
      <c r="I13" s="343">
        <v>24.1</v>
      </c>
      <c r="J13" s="343">
        <v>24</v>
      </c>
      <c r="K13" s="343">
        <v>23.9</v>
      </c>
      <c r="L13" s="70">
        <v>23.9</v>
      </c>
      <c r="M13" s="340">
        <f t="shared" si="0"/>
        <v>24.1</v>
      </c>
      <c r="N13" s="340">
        <f t="shared" si="1"/>
        <v>23.8</v>
      </c>
    </row>
    <row r="14" spans="2:14" ht="15.75" thickBot="1" x14ac:dyDescent="0.3">
      <c r="B14" s="4" t="s">
        <v>42</v>
      </c>
      <c r="C14" s="4" t="s">
        <v>53</v>
      </c>
      <c r="D14" s="14" t="s">
        <v>37</v>
      </c>
      <c r="E14" s="14" t="s">
        <v>37</v>
      </c>
      <c r="F14" s="4">
        <v>7.05</v>
      </c>
      <c r="G14" s="4">
        <v>18.7</v>
      </c>
      <c r="H14" s="4">
        <v>12.3</v>
      </c>
      <c r="I14" s="4">
        <v>17.3</v>
      </c>
      <c r="J14" s="4">
        <v>25.7</v>
      </c>
      <c r="K14" s="4">
        <v>68</v>
      </c>
      <c r="L14" s="4">
        <v>69.900000000000006</v>
      </c>
      <c r="M14" s="340">
        <f t="shared" si="0"/>
        <v>69.900000000000006</v>
      </c>
      <c r="N14" s="340">
        <f t="shared" si="1"/>
        <v>7.05</v>
      </c>
    </row>
    <row r="15" spans="2:14" ht="15.75" customHeight="1" thickBot="1" x14ac:dyDescent="0.3">
      <c r="B15" s="416" t="s">
        <v>294</v>
      </c>
      <c r="C15" s="416"/>
      <c r="D15" s="416"/>
      <c r="E15" s="416"/>
      <c r="F15" s="416"/>
      <c r="G15" s="416"/>
      <c r="H15" s="416"/>
      <c r="I15" s="416"/>
      <c r="J15" s="416"/>
      <c r="K15" s="416"/>
      <c r="L15" s="416"/>
      <c r="M15" s="340">
        <f t="shared" si="0"/>
        <v>0</v>
      </c>
      <c r="N15" s="340">
        <f t="shared" si="1"/>
        <v>0</v>
      </c>
    </row>
    <row r="16" spans="2:14" ht="1.5" customHeight="1" thickBot="1" x14ac:dyDescent="0.3">
      <c r="M16" s="340">
        <f t="shared" si="0"/>
        <v>0</v>
      </c>
      <c r="N16" s="340">
        <f t="shared" si="1"/>
        <v>0</v>
      </c>
    </row>
    <row r="17" spans="2:14" ht="15.75" thickBot="1" x14ac:dyDescent="0.3">
      <c r="B17" s="4" t="s">
        <v>46</v>
      </c>
      <c r="C17" s="4" t="s">
        <v>54</v>
      </c>
      <c r="D17" s="4" t="s">
        <v>59</v>
      </c>
      <c r="E17" s="4" t="s">
        <v>59</v>
      </c>
      <c r="F17" s="4">
        <f>44*5</f>
        <v>220</v>
      </c>
      <c r="G17" s="4">
        <f>33*5</f>
        <v>165</v>
      </c>
      <c r="H17" s="4">
        <f>46*5</f>
        <v>230</v>
      </c>
      <c r="I17" s="4">
        <f>38*5</f>
        <v>190</v>
      </c>
      <c r="J17" s="4">
        <f>37*5</f>
        <v>185</v>
      </c>
      <c r="K17" s="4">
        <f>34*5</f>
        <v>170</v>
      </c>
      <c r="L17" s="4">
        <f>32*5</f>
        <v>160</v>
      </c>
      <c r="M17" s="340">
        <f t="shared" si="0"/>
        <v>230</v>
      </c>
      <c r="N17" s="340">
        <f t="shared" si="1"/>
        <v>160</v>
      </c>
    </row>
    <row r="18" spans="2:14" ht="15.75" thickBot="1" x14ac:dyDescent="0.3">
      <c r="B18" s="4" t="s">
        <v>368</v>
      </c>
      <c r="C18" s="4" t="s">
        <v>54</v>
      </c>
      <c r="D18" s="4">
        <v>10</v>
      </c>
      <c r="E18" s="14">
        <v>10</v>
      </c>
      <c r="F18" s="338">
        <v>28</v>
      </c>
      <c r="G18" s="338">
        <v>27</v>
      </c>
      <c r="H18" s="338">
        <v>28</v>
      </c>
      <c r="I18" s="338">
        <v>28</v>
      </c>
      <c r="J18" s="338">
        <v>20</v>
      </c>
      <c r="K18" s="338">
        <v>34</v>
      </c>
      <c r="L18" s="338">
        <v>33</v>
      </c>
      <c r="M18" s="340">
        <f t="shared" si="0"/>
        <v>34</v>
      </c>
      <c r="N18" s="340">
        <f t="shared" si="1"/>
        <v>20</v>
      </c>
    </row>
    <row r="19" spans="2:14" ht="15.75" thickBot="1" x14ac:dyDescent="0.3">
      <c r="B19" s="4" t="s">
        <v>49</v>
      </c>
      <c r="C19" s="4" t="s">
        <v>54</v>
      </c>
      <c r="D19" s="4" t="s">
        <v>67</v>
      </c>
      <c r="E19" s="4" t="s">
        <v>67</v>
      </c>
      <c r="F19" s="338">
        <v>2.2999999999999998</v>
      </c>
      <c r="G19" s="338">
        <v>3.2</v>
      </c>
      <c r="H19" s="338">
        <v>3</v>
      </c>
      <c r="I19" s="338">
        <v>3.1</v>
      </c>
      <c r="J19" s="338">
        <v>3.3</v>
      </c>
      <c r="K19" s="339">
        <v>4</v>
      </c>
      <c r="L19" s="338">
        <v>3.1</v>
      </c>
      <c r="M19" s="342">
        <f t="shared" si="0"/>
        <v>4</v>
      </c>
      <c r="N19" s="342">
        <f t="shared" si="1"/>
        <v>2.2999999999999998</v>
      </c>
    </row>
    <row r="20" spans="2:14" ht="15.75" thickBot="1" x14ac:dyDescent="0.3">
      <c r="B20" s="4" t="s">
        <v>50</v>
      </c>
      <c r="C20" s="4" t="s">
        <v>54</v>
      </c>
      <c r="D20" s="4">
        <v>5</v>
      </c>
      <c r="E20" s="14" t="s">
        <v>37</v>
      </c>
      <c r="F20" s="4">
        <v>0.25600000000000001</v>
      </c>
      <c r="G20" s="4">
        <v>0.30099999999999999</v>
      </c>
      <c r="H20" s="4">
        <v>0.26400000000000001</v>
      </c>
      <c r="I20" s="4">
        <v>0.39900000000000002</v>
      </c>
      <c r="J20" s="4">
        <v>0.34399999999999997</v>
      </c>
      <c r="K20" s="4">
        <v>1.875</v>
      </c>
      <c r="L20" s="4">
        <v>1.6850000000000001</v>
      </c>
      <c r="M20" s="341">
        <f t="shared" si="0"/>
        <v>1.875</v>
      </c>
      <c r="N20" s="341">
        <f t="shared" si="1"/>
        <v>0.25600000000000001</v>
      </c>
    </row>
    <row r="21" spans="2:14" ht="15.75" thickBot="1" x14ac:dyDescent="0.3">
      <c r="B21" s="4" t="s">
        <v>51</v>
      </c>
      <c r="C21" s="4" t="s">
        <v>54</v>
      </c>
      <c r="D21" s="4" t="s">
        <v>67</v>
      </c>
      <c r="E21" s="4" t="s">
        <v>68</v>
      </c>
      <c r="F21" s="339">
        <v>1.08</v>
      </c>
      <c r="G21" s="339">
        <v>3.93</v>
      </c>
      <c r="H21" s="339">
        <v>3.86</v>
      </c>
      <c r="I21" s="339">
        <v>3.44</v>
      </c>
      <c r="J21" s="339">
        <v>1.4</v>
      </c>
      <c r="K21" s="339">
        <v>0.87</v>
      </c>
      <c r="L21" s="339">
        <v>0.46</v>
      </c>
      <c r="M21" s="344">
        <f t="shared" si="0"/>
        <v>3.93</v>
      </c>
      <c r="N21" s="344">
        <f t="shared" si="1"/>
        <v>0.46</v>
      </c>
    </row>
    <row r="22" spans="2:14" ht="24.75" thickBot="1" x14ac:dyDescent="0.3">
      <c r="B22" s="4" t="s">
        <v>52</v>
      </c>
      <c r="C22" s="4" t="s">
        <v>54</v>
      </c>
      <c r="D22" s="4" t="s">
        <v>69</v>
      </c>
      <c r="E22" s="4">
        <v>1</v>
      </c>
      <c r="F22" s="84">
        <v>5.8000000000000003E-2</v>
      </c>
      <c r="G22" s="84">
        <v>2.5999999999999999E-2</v>
      </c>
      <c r="H22" s="84">
        <v>0.02</v>
      </c>
      <c r="I22" s="84">
        <v>0.03</v>
      </c>
      <c r="J22" s="84">
        <v>0.01</v>
      </c>
      <c r="K22" s="84">
        <v>0.02</v>
      </c>
      <c r="L22" s="84">
        <v>7.0000000000000007E-2</v>
      </c>
      <c r="M22" s="341">
        <f t="shared" si="0"/>
        <v>7.0000000000000007E-2</v>
      </c>
      <c r="N22" s="341">
        <f t="shared" si="1"/>
        <v>0.01</v>
      </c>
    </row>
    <row r="23" spans="2:14" ht="15.75" customHeight="1" thickBot="1" x14ac:dyDescent="0.3">
      <c r="B23" s="4" t="s">
        <v>334</v>
      </c>
      <c r="C23" s="4" t="s">
        <v>54</v>
      </c>
      <c r="D23" s="4">
        <v>2</v>
      </c>
      <c r="E23" s="4">
        <v>24</v>
      </c>
      <c r="F23" s="4">
        <v>0.5</v>
      </c>
      <c r="G23" s="4">
        <v>0.34</v>
      </c>
      <c r="H23" s="4">
        <v>0.44</v>
      </c>
      <c r="I23" s="4">
        <v>0.35</v>
      </c>
      <c r="J23" s="4">
        <v>0.34</v>
      </c>
      <c r="K23" s="4">
        <v>0.6</v>
      </c>
      <c r="L23" s="4">
        <v>0.56000000000000005</v>
      </c>
      <c r="M23" s="341">
        <f t="shared" si="0"/>
        <v>0.6</v>
      </c>
      <c r="N23" s="341">
        <f t="shared" si="1"/>
        <v>0.34</v>
      </c>
    </row>
    <row r="24" spans="2:14" ht="15.75" customHeight="1" thickBot="1" x14ac:dyDescent="0.3">
      <c r="B24" s="416" t="s">
        <v>293</v>
      </c>
      <c r="C24" s="416"/>
      <c r="D24" s="416"/>
      <c r="E24" s="416"/>
      <c r="F24" s="416"/>
      <c r="G24" s="416"/>
      <c r="H24" s="416"/>
      <c r="I24" s="416"/>
      <c r="J24" s="416"/>
      <c r="K24" s="416"/>
      <c r="L24" s="416"/>
      <c r="M24" s="340">
        <f t="shared" si="0"/>
        <v>0</v>
      </c>
      <c r="N24" s="340">
        <f t="shared" si="1"/>
        <v>0</v>
      </c>
    </row>
    <row r="25" spans="2:14" ht="1.5" customHeight="1" x14ac:dyDescent="0.25">
      <c r="M25" s="340">
        <f t="shared" si="0"/>
        <v>0</v>
      </c>
      <c r="N25" s="340">
        <f t="shared" si="1"/>
        <v>0</v>
      </c>
    </row>
    <row r="26" spans="2:14" ht="1.5" customHeight="1" thickBot="1" x14ac:dyDescent="0.3">
      <c r="M26" s="340">
        <f t="shared" si="0"/>
        <v>0</v>
      </c>
      <c r="N26" s="340">
        <f t="shared" si="1"/>
        <v>0</v>
      </c>
    </row>
    <row r="27" spans="2:14" ht="24.75" thickBot="1" x14ac:dyDescent="0.3">
      <c r="B27" s="4" t="s">
        <v>57</v>
      </c>
      <c r="C27" s="4" t="s">
        <v>58</v>
      </c>
      <c r="D27" s="14" t="s">
        <v>37</v>
      </c>
      <c r="E27" s="14" t="s">
        <v>37</v>
      </c>
      <c r="F27" s="70">
        <v>1100</v>
      </c>
      <c r="G27" s="70">
        <v>460</v>
      </c>
      <c r="H27" s="70">
        <v>460</v>
      </c>
      <c r="I27" s="70">
        <v>460</v>
      </c>
      <c r="J27" s="70">
        <v>460</v>
      </c>
      <c r="K27" s="70">
        <v>240</v>
      </c>
      <c r="L27" s="70">
        <v>150</v>
      </c>
      <c r="M27" s="340">
        <f t="shared" si="0"/>
        <v>1100</v>
      </c>
      <c r="N27" s="340">
        <f t="shared" si="1"/>
        <v>150</v>
      </c>
    </row>
    <row r="28" spans="2:14" ht="24.75" thickBot="1" x14ac:dyDescent="0.3">
      <c r="B28" s="4" t="s">
        <v>55</v>
      </c>
      <c r="C28" s="4" t="s">
        <v>58</v>
      </c>
      <c r="D28" s="4" t="s">
        <v>59</v>
      </c>
      <c r="E28" s="4" t="s">
        <v>59</v>
      </c>
      <c r="F28" s="70">
        <v>1100</v>
      </c>
      <c r="G28" s="70">
        <v>460</v>
      </c>
      <c r="H28" s="70">
        <v>240</v>
      </c>
      <c r="I28" s="70">
        <v>210</v>
      </c>
      <c r="J28" s="70">
        <v>240</v>
      </c>
      <c r="K28" s="70">
        <v>93</v>
      </c>
      <c r="L28" s="70">
        <v>93</v>
      </c>
      <c r="M28" s="340">
        <f t="shared" si="0"/>
        <v>1100</v>
      </c>
      <c r="N28" s="340">
        <f t="shared" si="1"/>
        <v>93</v>
      </c>
    </row>
    <row r="30" spans="2:14" x14ac:dyDescent="0.25">
      <c r="B30" s="26"/>
      <c r="C30" s="26"/>
    </row>
    <row r="31" spans="2:14" x14ac:dyDescent="0.25">
      <c r="B31" s="26"/>
      <c r="C31" s="26"/>
    </row>
  </sheetData>
  <mergeCells count="8">
    <mergeCell ref="B9:L9"/>
    <mergeCell ref="B15:L15"/>
    <mergeCell ref="B24:L24"/>
    <mergeCell ref="B4:L4"/>
    <mergeCell ref="B6:B7"/>
    <mergeCell ref="C6:C7"/>
    <mergeCell ref="D6:E6"/>
    <mergeCell ref="F6:L6"/>
  </mergeCells>
  <pageMargins left="0.7" right="0.7" top="0.75" bottom="0.75" header="0.3" footer="0.3"/>
  <pageSetup paperSize="9" scale="62" orientation="portrait" r:id="rId1"/>
  <colBreaks count="1" manualBreakCount="1">
    <brk id="13" max="32" man="1"/>
  </colBreaks>
  <oleObjects>
    <mc:AlternateContent xmlns:mc="http://schemas.openxmlformats.org/markup-compatibility/2006">
      <mc:Choice Requires="x14">
        <oleObject progId="Paint.Picture" shapeId="38913" r:id="rId4">
          <objectPr defaultSize="0" autoPict="0" r:id="rId5">
            <anchor moveWithCells="1">
              <from>
                <xdr:col>14</xdr:col>
                <xdr:colOff>285750</xdr:colOff>
                <xdr:row>3</xdr:row>
                <xdr:rowOff>85725</xdr:rowOff>
              </from>
              <to>
                <xdr:col>21</xdr:col>
                <xdr:colOff>219075</xdr:colOff>
                <xdr:row>21</xdr:row>
                <xdr:rowOff>285750</xdr:rowOff>
              </to>
            </anchor>
          </objectPr>
        </oleObject>
      </mc:Choice>
      <mc:Fallback>
        <oleObject progId="Paint.Picture" shapeId="38913" r:id="rId4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N32"/>
  <sheetViews>
    <sheetView showGridLines="0" view="pageBreakPreview" topLeftCell="A13" zoomScaleNormal="145" zoomScaleSheetLayoutView="100" workbookViewId="0">
      <selection activeCell="F28" sqref="F28:L29"/>
    </sheetView>
  </sheetViews>
  <sheetFormatPr baseColWidth="10" defaultColWidth="11.42578125" defaultRowHeight="15" x14ac:dyDescent="0.25"/>
  <cols>
    <col min="2" max="2" width="15.7109375" customWidth="1"/>
    <col min="3" max="3" width="10.28515625" customWidth="1"/>
    <col min="4" max="4" width="10.42578125" customWidth="1"/>
    <col min="5" max="5" width="11.28515625" customWidth="1"/>
    <col min="6" max="6" width="8.42578125" customWidth="1"/>
    <col min="7" max="7" width="7.5703125" customWidth="1"/>
    <col min="8" max="8" width="7.7109375" customWidth="1"/>
    <col min="9" max="9" width="9.28515625" customWidth="1"/>
    <col min="10" max="10" width="8.85546875" customWidth="1"/>
    <col min="11" max="11" width="7.140625" customWidth="1"/>
    <col min="12" max="12" width="21.140625" customWidth="1"/>
  </cols>
  <sheetData>
    <row r="1" spans="2:14" ht="6" customHeight="1" x14ac:dyDescent="0.25"/>
    <row r="2" spans="2:14" ht="6" customHeight="1" x14ac:dyDescent="0.25"/>
    <row r="3" spans="2:14" ht="6.75" customHeight="1" x14ac:dyDescent="0.25"/>
    <row r="4" spans="2:14" ht="37.5" customHeight="1" x14ac:dyDescent="0.25">
      <c r="B4" s="396" t="s">
        <v>369</v>
      </c>
      <c r="C4" s="397"/>
      <c r="D4" s="397"/>
      <c r="E4" s="397"/>
      <c r="F4" s="397"/>
      <c r="G4" s="397"/>
      <c r="H4" s="397"/>
      <c r="I4" s="397"/>
      <c r="J4" s="397"/>
      <c r="K4" s="397"/>
      <c r="L4" s="397"/>
    </row>
    <row r="5" spans="2:14" ht="2.25" customHeight="1" thickBot="1" x14ac:dyDescent="0.3"/>
    <row r="6" spans="2:14" ht="24.75" customHeight="1" thickBot="1" x14ac:dyDescent="0.3">
      <c r="B6" s="390" t="s">
        <v>34</v>
      </c>
      <c r="C6" s="390" t="s">
        <v>296</v>
      </c>
      <c r="D6" s="398" t="s">
        <v>33</v>
      </c>
      <c r="E6" s="398"/>
      <c r="F6" s="417" t="s">
        <v>137</v>
      </c>
      <c r="G6" s="412"/>
      <c r="H6" s="412"/>
      <c r="I6" s="412"/>
      <c r="J6" s="412"/>
      <c r="K6" s="412"/>
      <c r="L6" s="413"/>
    </row>
    <row r="7" spans="2:14" ht="29.25" customHeight="1" thickBot="1" x14ac:dyDescent="0.3">
      <c r="B7" s="391"/>
      <c r="C7" s="391"/>
      <c r="D7" s="19" t="s">
        <v>298</v>
      </c>
      <c r="E7" s="18" t="s">
        <v>297</v>
      </c>
      <c r="F7" s="24" t="s">
        <v>27</v>
      </c>
      <c r="G7" s="24" t="s">
        <v>28</v>
      </c>
      <c r="H7" s="24" t="s">
        <v>29</v>
      </c>
      <c r="I7" s="24" t="s">
        <v>30</v>
      </c>
      <c r="J7" s="24" t="s">
        <v>31</v>
      </c>
      <c r="K7" s="24" t="s">
        <v>25</v>
      </c>
      <c r="L7" s="24" t="s">
        <v>32</v>
      </c>
    </row>
    <row r="8" spans="2:14" ht="3" customHeight="1" x14ac:dyDescent="0.25"/>
    <row r="9" spans="2:14" ht="15.75" customHeight="1" thickBot="1" x14ac:dyDescent="0.3">
      <c r="B9" s="416" t="s">
        <v>295</v>
      </c>
      <c r="C9" s="416"/>
      <c r="D9" s="416"/>
      <c r="E9" s="416"/>
      <c r="F9" s="416"/>
      <c r="G9" s="416"/>
      <c r="H9" s="416"/>
      <c r="I9" s="416"/>
      <c r="J9" s="416"/>
      <c r="K9" s="416"/>
      <c r="L9" s="416"/>
    </row>
    <row r="10" spans="2:14" ht="24.75" thickBot="1" x14ac:dyDescent="0.3">
      <c r="B10" s="4" t="s">
        <v>41</v>
      </c>
      <c r="C10" s="4" t="s">
        <v>64</v>
      </c>
      <c r="D10" s="4" t="s">
        <v>62</v>
      </c>
      <c r="E10" s="4" t="s">
        <v>63</v>
      </c>
      <c r="F10" s="67">
        <f>3.39*1000</f>
        <v>3390</v>
      </c>
      <c r="G10" s="67">
        <f>2.29*1000</f>
        <v>2290</v>
      </c>
      <c r="H10" s="67">
        <f>2.97*1000</f>
        <v>2970</v>
      </c>
      <c r="I10" s="67">
        <f>2.5*1000</f>
        <v>2500</v>
      </c>
      <c r="J10" s="67">
        <f>2.49*1000</f>
        <v>2490</v>
      </c>
      <c r="K10" s="67">
        <v>301</v>
      </c>
      <c r="L10" s="70">
        <v>315</v>
      </c>
      <c r="M10" s="340">
        <f>MAX(F10:L10)</f>
        <v>3390</v>
      </c>
      <c r="N10" s="340">
        <f>MIN(F10:L10)</f>
        <v>301</v>
      </c>
    </row>
    <row r="11" spans="2:14" ht="15.75" thickBot="1" x14ac:dyDescent="0.3">
      <c r="B11" s="4" t="s">
        <v>23</v>
      </c>
      <c r="C11" s="14" t="s">
        <v>37</v>
      </c>
      <c r="D11" s="14" t="s">
        <v>65</v>
      </c>
      <c r="E11" s="4" t="s">
        <v>66</v>
      </c>
      <c r="F11" s="69">
        <v>7.5</v>
      </c>
      <c r="G11" s="69">
        <v>7.1</v>
      </c>
      <c r="H11" s="69">
        <v>7.59</v>
      </c>
      <c r="I11" s="69">
        <v>7.62</v>
      </c>
      <c r="J11" s="69">
        <v>7.8</v>
      </c>
      <c r="K11" s="69">
        <v>7.95</v>
      </c>
      <c r="L11" s="28">
        <v>8</v>
      </c>
      <c r="M11" s="341">
        <f t="shared" ref="M11:M29" si="0">MAX(F11:L11)</f>
        <v>8</v>
      </c>
      <c r="N11" s="341">
        <f t="shared" ref="N11:N29" si="1">MIN(F11:L11)</f>
        <v>7.1</v>
      </c>
    </row>
    <row r="12" spans="2:14" ht="24.75" thickBot="1" x14ac:dyDescent="0.3">
      <c r="B12" s="4" t="s">
        <v>38</v>
      </c>
      <c r="C12" s="4" t="s">
        <v>24</v>
      </c>
      <c r="D12" s="14" t="s">
        <v>37</v>
      </c>
      <c r="E12" s="14" t="s">
        <v>37</v>
      </c>
      <c r="F12" s="345">
        <v>1695</v>
      </c>
      <c r="G12" s="345">
        <v>1145</v>
      </c>
      <c r="H12" s="345">
        <v>1485</v>
      </c>
      <c r="I12" s="345">
        <v>1250</v>
      </c>
      <c r="J12" s="345">
        <v>1245</v>
      </c>
      <c r="K12" s="345">
        <v>150.5</v>
      </c>
      <c r="L12" s="70">
        <f>L10/2</f>
        <v>157.5</v>
      </c>
      <c r="M12" s="340">
        <f t="shared" si="0"/>
        <v>1695</v>
      </c>
      <c r="N12" s="340">
        <f t="shared" si="1"/>
        <v>150.5</v>
      </c>
    </row>
    <row r="13" spans="2:14" ht="15.75" thickBot="1" x14ac:dyDescent="0.3">
      <c r="B13" s="4" t="s">
        <v>39</v>
      </c>
      <c r="C13" s="4" t="s">
        <v>40</v>
      </c>
      <c r="D13" s="14" t="s">
        <v>37</v>
      </c>
      <c r="E13" s="14" t="s">
        <v>37</v>
      </c>
      <c r="F13" s="343">
        <v>24</v>
      </c>
      <c r="G13" s="343">
        <v>23.8</v>
      </c>
      <c r="H13" s="343">
        <v>23.9</v>
      </c>
      <c r="I13" s="343">
        <v>24.1</v>
      </c>
      <c r="J13" s="343">
        <v>24</v>
      </c>
      <c r="K13" s="343">
        <v>23.9</v>
      </c>
      <c r="L13" s="70">
        <v>23.9</v>
      </c>
      <c r="M13" s="340">
        <f t="shared" si="0"/>
        <v>24.1</v>
      </c>
      <c r="N13" s="340">
        <f t="shared" si="1"/>
        <v>23.8</v>
      </c>
    </row>
    <row r="14" spans="2:14" ht="15.75" thickBot="1" x14ac:dyDescent="0.3">
      <c r="B14" s="4" t="s">
        <v>42</v>
      </c>
      <c r="C14" s="4" t="s">
        <v>53</v>
      </c>
      <c r="D14" s="14" t="s">
        <v>37</v>
      </c>
      <c r="E14" s="14" t="s">
        <v>37</v>
      </c>
      <c r="F14" s="4">
        <v>3.61</v>
      </c>
      <c r="G14" s="4">
        <v>3.68</v>
      </c>
      <c r="H14" s="4">
        <v>5.69</v>
      </c>
      <c r="I14" s="4">
        <v>9.6199999999999992</v>
      </c>
      <c r="J14" s="4">
        <v>28.6</v>
      </c>
      <c r="K14" s="4">
        <v>40.200000000000003</v>
      </c>
      <c r="L14" s="4">
        <v>89</v>
      </c>
      <c r="M14" s="340">
        <f t="shared" si="0"/>
        <v>89</v>
      </c>
      <c r="N14" s="340">
        <f t="shared" si="1"/>
        <v>3.61</v>
      </c>
    </row>
    <row r="15" spans="2:14" ht="15.75" customHeight="1" thickBot="1" x14ac:dyDescent="0.3">
      <c r="B15" s="416" t="s">
        <v>294</v>
      </c>
      <c r="C15" s="416"/>
      <c r="D15" s="416"/>
      <c r="E15" s="416"/>
      <c r="F15" s="416"/>
      <c r="G15" s="416"/>
      <c r="H15" s="416"/>
      <c r="I15" s="416"/>
      <c r="J15" s="416"/>
      <c r="K15" s="416"/>
      <c r="L15" s="416"/>
      <c r="M15" s="340">
        <f t="shared" si="0"/>
        <v>0</v>
      </c>
      <c r="N15" s="340">
        <f t="shared" si="1"/>
        <v>0</v>
      </c>
    </row>
    <row r="16" spans="2:14" ht="1.5" customHeight="1" thickBot="1" x14ac:dyDescent="0.3">
      <c r="M16" s="340">
        <f t="shared" si="0"/>
        <v>0</v>
      </c>
      <c r="N16" s="340">
        <f t="shared" si="1"/>
        <v>0</v>
      </c>
    </row>
    <row r="17" spans="2:14" ht="15.75" thickBot="1" x14ac:dyDescent="0.3">
      <c r="B17" s="4" t="s">
        <v>46</v>
      </c>
      <c r="C17" s="4" t="s">
        <v>54</v>
      </c>
      <c r="D17" s="4" t="s">
        <v>59</v>
      </c>
      <c r="E17" s="4" t="s">
        <v>59</v>
      </c>
      <c r="F17" s="4">
        <f>30*5</f>
        <v>150</v>
      </c>
      <c r="G17" s="4">
        <f>31*5</f>
        <v>155</v>
      </c>
      <c r="H17" s="4">
        <f>37*5</f>
        <v>185</v>
      </c>
      <c r="I17" s="4">
        <f>36*5</f>
        <v>180</v>
      </c>
      <c r="J17" s="4">
        <f>32*5</f>
        <v>160</v>
      </c>
      <c r="K17" s="4">
        <f>30*5</f>
        <v>150</v>
      </c>
      <c r="L17" s="4">
        <f>31*5</f>
        <v>155</v>
      </c>
      <c r="M17" s="340">
        <f t="shared" si="0"/>
        <v>185</v>
      </c>
      <c r="N17" s="340">
        <f t="shared" si="1"/>
        <v>150</v>
      </c>
    </row>
    <row r="18" spans="2:14" ht="15.75" thickBot="1" x14ac:dyDescent="0.3">
      <c r="B18" s="4" t="s">
        <v>48</v>
      </c>
      <c r="C18" s="4" t="s">
        <v>54</v>
      </c>
      <c r="D18" s="4">
        <v>100</v>
      </c>
      <c r="E18" s="4">
        <v>100</v>
      </c>
      <c r="F18" s="4">
        <v>34</v>
      </c>
      <c r="G18" s="4">
        <v>27.5</v>
      </c>
      <c r="H18" s="4">
        <v>29.3</v>
      </c>
      <c r="I18" s="4">
        <v>54.9</v>
      </c>
      <c r="J18" s="4">
        <v>33.9</v>
      </c>
      <c r="K18" s="4">
        <v>38.799999999999997</v>
      </c>
      <c r="L18" s="4">
        <v>7.7</v>
      </c>
      <c r="M18" s="340">
        <f t="shared" si="0"/>
        <v>54.9</v>
      </c>
      <c r="N18" s="340">
        <f t="shared" si="1"/>
        <v>7.7</v>
      </c>
    </row>
    <row r="19" spans="2:14" ht="15.75" thickBot="1" x14ac:dyDescent="0.3">
      <c r="B19" s="4" t="s">
        <v>368</v>
      </c>
      <c r="C19" s="4" t="s">
        <v>54</v>
      </c>
      <c r="D19" s="4">
        <v>10</v>
      </c>
      <c r="E19" s="14">
        <v>10</v>
      </c>
      <c r="F19" s="338">
        <v>17</v>
      </c>
      <c r="G19" s="338">
        <v>18</v>
      </c>
      <c r="H19" s="338">
        <v>16</v>
      </c>
      <c r="I19" s="338">
        <v>16</v>
      </c>
      <c r="J19" s="338">
        <v>16</v>
      </c>
      <c r="K19" s="338">
        <v>14</v>
      </c>
      <c r="L19" s="338">
        <v>15</v>
      </c>
      <c r="M19" s="340">
        <f t="shared" si="0"/>
        <v>18</v>
      </c>
      <c r="N19" s="340">
        <f t="shared" si="1"/>
        <v>14</v>
      </c>
    </row>
    <row r="20" spans="2:14" ht="15.75" thickBot="1" x14ac:dyDescent="0.3">
      <c r="B20" s="4" t="s">
        <v>49</v>
      </c>
      <c r="C20" s="4" t="s">
        <v>54</v>
      </c>
      <c r="D20" s="4" t="s">
        <v>67</v>
      </c>
      <c r="E20" s="4" t="s">
        <v>67</v>
      </c>
      <c r="F20" s="338">
        <v>1</v>
      </c>
      <c r="G20" s="338">
        <v>1.9</v>
      </c>
      <c r="H20" s="338">
        <v>1.2</v>
      </c>
      <c r="I20" s="338">
        <v>1</v>
      </c>
      <c r="J20" s="338">
        <v>0.8</v>
      </c>
      <c r="K20" s="339">
        <v>0.7</v>
      </c>
      <c r="L20" s="338">
        <v>0.7</v>
      </c>
      <c r="M20" s="342">
        <f t="shared" si="0"/>
        <v>1.9</v>
      </c>
      <c r="N20" s="342">
        <f t="shared" si="1"/>
        <v>0.7</v>
      </c>
    </row>
    <row r="21" spans="2:14" ht="15.75" thickBot="1" x14ac:dyDescent="0.3">
      <c r="B21" s="4" t="s">
        <v>50</v>
      </c>
      <c r="C21" s="4" t="s">
        <v>54</v>
      </c>
      <c r="D21" s="4">
        <v>5</v>
      </c>
      <c r="E21" s="14" t="s">
        <v>37</v>
      </c>
      <c r="F21" s="4">
        <v>0.14299999999999999</v>
      </c>
      <c r="G21" s="4">
        <v>0.219</v>
      </c>
      <c r="H21" s="4">
        <v>0.31900000000000001</v>
      </c>
      <c r="I21" s="4">
        <v>0.187</v>
      </c>
      <c r="J21" s="4">
        <v>0.12</v>
      </c>
      <c r="K21" s="4">
        <v>0.875</v>
      </c>
      <c r="L21" s="4">
        <v>1.6970000000000001</v>
      </c>
      <c r="M21" s="341">
        <f t="shared" si="0"/>
        <v>1.6970000000000001</v>
      </c>
      <c r="N21" s="341">
        <f t="shared" si="1"/>
        <v>0.12</v>
      </c>
    </row>
    <row r="22" spans="2:14" ht="15.75" thickBot="1" x14ac:dyDescent="0.3">
      <c r="B22" s="4" t="s">
        <v>51</v>
      </c>
      <c r="C22" s="4" t="s">
        <v>54</v>
      </c>
      <c r="D22" s="4" t="s">
        <v>67</v>
      </c>
      <c r="E22" s="4" t="s">
        <v>68</v>
      </c>
      <c r="F22" s="339">
        <v>1.54</v>
      </c>
      <c r="G22" s="339">
        <v>1.44</v>
      </c>
      <c r="H22" s="339">
        <v>3.76</v>
      </c>
      <c r="I22" s="339">
        <v>3.49</v>
      </c>
      <c r="J22" s="339">
        <v>1.19</v>
      </c>
      <c r="K22" s="339">
        <v>0.88</v>
      </c>
      <c r="L22" s="339">
        <v>0.5</v>
      </c>
      <c r="M22" s="344">
        <f t="shared" si="0"/>
        <v>3.76</v>
      </c>
      <c r="N22" s="344">
        <f t="shared" si="1"/>
        <v>0.5</v>
      </c>
    </row>
    <row r="23" spans="2:14" ht="24.75" thickBot="1" x14ac:dyDescent="0.3">
      <c r="B23" s="4" t="s">
        <v>52</v>
      </c>
      <c r="C23" s="4" t="s">
        <v>54</v>
      </c>
      <c r="D23" s="4" t="s">
        <v>69</v>
      </c>
      <c r="E23" s="4">
        <v>1</v>
      </c>
      <c r="F23" s="84">
        <v>5.8000000000000003E-2</v>
      </c>
      <c r="G23" s="84">
        <v>2.5999999999999999E-2</v>
      </c>
      <c r="H23" s="84">
        <v>0.02</v>
      </c>
      <c r="I23" s="84">
        <v>0.03</v>
      </c>
      <c r="J23" s="84">
        <v>0.01</v>
      </c>
      <c r="K23" s="84">
        <v>0.02</v>
      </c>
      <c r="L23" s="84">
        <v>7.0000000000000007E-2</v>
      </c>
      <c r="M23" s="341">
        <f t="shared" si="0"/>
        <v>7.0000000000000007E-2</v>
      </c>
      <c r="N23" s="341">
        <f t="shared" si="1"/>
        <v>0.01</v>
      </c>
    </row>
    <row r="24" spans="2:14" ht="15.75" customHeight="1" thickBot="1" x14ac:dyDescent="0.3">
      <c r="B24" s="4" t="s">
        <v>334</v>
      </c>
      <c r="C24" s="4" t="s">
        <v>54</v>
      </c>
      <c r="D24" s="4">
        <v>2</v>
      </c>
      <c r="E24" s="4">
        <v>24</v>
      </c>
      <c r="F24" s="4">
        <v>0.17</v>
      </c>
      <c r="G24" s="4">
        <v>0.19</v>
      </c>
      <c r="H24" s="4">
        <v>0.2</v>
      </c>
      <c r="I24" s="4">
        <v>0.18</v>
      </c>
      <c r="J24" s="4">
        <v>0.2</v>
      </c>
      <c r="K24" s="4">
        <v>0.12</v>
      </c>
      <c r="L24" s="4">
        <v>0.11</v>
      </c>
      <c r="M24" s="341">
        <f t="shared" si="0"/>
        <v>0.2</v>
      </c>
      <c r="N24" s="341">
        <f t="shared" si="1"/>
        <v>0.11</v>
      </c>
    </row>
    <row r="25" spans="2:14" ht="15.75" customHeight="1" thickBot="1" x14ac:dyDescent="0.3">
      <c r="B25" s="416" t="s">
        <v>293</v>
      </c>
      <c r="C25" s="416"/>
      <c r="D25" s="416"/>
      <c r="E25" s="416"/>
      <c r="F25" s="416"/>
      <c r="G25" s="416"/>
      <c r="H25" s="416"/>
      <c r="I25" s="416"/>
      <c r="J25" s="416"/>
      <c r="K25" s="416"/>
      <c r="L25" s="416"/>
      <c r="M25" s="340">
        <f t="shared" si="0"/>
        <v>0</v>
      </c>
      <c r="N25" s="340">
        <f t="shared" si="1"/>
        <v>0</v>
      </c>
    </row>
    <row r="26" spans="2:14" ht="1.5" customHeight="1" x14ac:dyDescent="0.25">
      <c r="M26" s="340">
        <f t="shared" si="0"/>
        <v>0</v>
      </c>
      <c r="N26" s="340">
        <f t="shared" si="1"/>
        <v>0</v>
      </c>
    </row>
    <row r="27" spans="2:14" ht="1.5" customHeight="1" thickBot="1" x14ac:dyDescent="0.3">
      <c r="M27" s="340">
        <f t="shared" si="0"/>
        <v>0</v>
      </c>
      <c r="N27" s="340">
        <f t="shared" si="1"/>
        <v>0</v>
      </c>
    </row>
    <row r="28" spans="2:14" ht="24.75" thickBot="1" x14ac:dyDescent="0.3">
      <c r="B28" s="4" t="s">
        <v>57</v>
      </c>
      <c r="C28" s="4" t="s">
        <v>58</v>
      </c>
      <c r="D28" s="14" t="s">
        <v>37</v>
      </c>
      <c r="E28" s="14" t="s">
        <v>37</v>
      </c>
      <c r="F28" s="70">
        <v>1100</v>
      </c>
      <c r="G28" s="70">
        <v>460</v>
      </c>
      <c r="H28" s="70">
        <v>460</v>
      </c>
      <c r="I28" s="70">
        <v>460</v>
      </c>
      <c r="J28" s="70">
        <v>460</v>
      </c>
      <c r="K28" s="70">
        <v>240</v>
      </c>
      <c r="L28" s="70">
        <v>150</v>
      </c>
      <c r="M28" s="340">
        <f t="shared" si="0"/>
        <v>1100</v>
      </c>
      <c r="N28" s="340">
        <f t="shared" si="1"/>
        <v>150</v>
      </c>
    </row>
    <row r="29" spans="2:14" ht="24.75" thickBot="1" x14ac:dyDescent="0.3">
      <c r="B29" s="4" t="s">
        <v>55</v>
      </c>
      <c r="C29" s="4" t="s">
        <v>58</v>
      </c>
      <c r="D29" s="4" t="s">
        <v>59</v>
      </c>
      <c r="E29" s="4" t="s">
        <v>59</v>
      </c>
      <c r="F29" s="70">
        <v>1100</v>
      </c>
      <c r="G29" s="70">
        <v>460</v>
      </c>
      <c r="H29" s="70">
        <v>240</v>
      </c>
      <c r="I29" s="70">
        <v>210</v>
      </c>
      <c r="J29" s="70">
        <v>240</v>
      </c>
      <c r="K29" s="70">
        <v>93</v>
      </c>
      <c r="L29" s="70">
        <v>93</v>
      </c>
      <c r="M29" s="340">
        <f t="shared" si="0"/>
        <v>1100</v>
      </c>
      <c r="N29" s="340">
        <f t="shared" si="1"/>
        <v>93</v>
      </c>
    </row>
    <row r="31" spans="2:14" x14ac:dyDescent="0.25">
      <c r="B31" s="26"/>
      <c r="C31" s="26"/>
    </row>
    <row r="32" spans="2:14" x14ac:dyDescent="0.25">
      <c r="B32" s="26"/>
      <c r="C32" s="26"/>
    </row>
  </sheetData>
  <mergeCells count="8">
    <mergeCell ref="B15:L15"/>
    <mergeCell ref="B25:L25"/>
    <mergeCell ref="B4:L4"/>
    <mergeCell ref="B6:B7"/>
    <mergeCell ref="C6:C7"/>
    <mergeCell ref="D6:E6"/>
    <mergeCell ref="F6:L6"/>
    <mergeCell ref="B9:L9"/>
  </mergeCells>
  <pageMargins left="0.7" right="0.7" top="0.75" bottom="0.75" header="0.3" footer="0.3"/>
  <pageSetup paperSize="9" scale="62" orientation="portrait" r:id="rId1"/>
  <colBreaks count="1" manualBreakCount="1">
    <brk id="13" max="32" man="1"/>
  </colBreaks>
  <oleObjects>
    <mc:AlternateContent xmlns:mc="http://schemas.openxmlformats.org/markup-compatibility/2006">
      <mc:Choice Requires="x14">
        <oleObject progId="Paint.Picture" shapeId="52225" r:id="rId4">
          <objectPr defaultSize="0" autoPict="0" r:id="rId5">
            <anchor moveWithCells="1">
              <from>
                <xdr:col>14</xdr:col>
                <xdr:colOff>285750</xdr:colOff>
                <xdr:row>3</xdr:row>
                <xdr:rowOff>85725</xdr:rowOff>
              </from>
              <to>
                <xdr:col>21</xdr:col>
                <xdr:colOff>219075</xdr:colOff>
                <xdr:row>22</xdr:row>
                <xdr:rowOff>114300</xdr:rowOff>
              </to>
            </anchor>
          </objectPr>
        </oleObject>
      </mc:Choice>
      <mc:Fallback>
        <oleObject progId="Paint.Picture" shapeId="52225" r:id="rId4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L33"/>
  <sheetViews>
    <sheetView showGridLines="0" view="pageBreakPreview" zoomScaleNormal="145" zoomScaleSheetLayoutView="100" workbookViewId="0">
      <selection activeCell="C19" sqref="C19:E19"/>
    </sheetView>
  </sheetViews>
  <sheetFormatPr baseColWidth="10" defaultColWidth="11.42578125" defaultRowHeight="15" x14ac:dyDescent="0.25"/>
  <cols>
    <col min="2" max="2" width="15.7109375" customWidth="1"/>
    <col min="3" max="3" width="10.28515625" customWidth="1"/>
    <col min="4" max="4" width="10.42578125" customWidth="1"/>
    <col min="5" max="5" width="11.28515625" customWidth="1"/>
    <col min="6" max="6" width="8.42578125" customWidth="1"/>
    <col min="7" max="7" width="7.5703125" customWidth="1"/>
    <col min="8" max="8" width="7.7109375" customWidth="1"/>
    <col min="9" max="9" width="9.28515625" customWidth="1"/>
    <col min="10" max="10" width="8.85546875" customWidth="1"/>
    <col min="11" max="11" width="7.140625" customWidth="1"/>
    <col min="12" max="12" width="17.140625" customWidth="1"/>
  </cols>
  <sheetData>
    <row r="1" spans="2:12" ht="6" customHeight="1" x14ac:dyDescent="0.25"/>
    <row r="2" spans="2:12" ht="6" customHeight="1" x14ac:dyDescent="0.25"/>
    <row r="3" spans="2:12" ht="6.75" customHeight="1" x14ac:dyDescent="0.25"/>
    <row r="4" spans="2:12" ht="37.5" customHeight="1" x14ac:dyDescent="0.25">
      <c r="B4" s="396" t="s">
        <v>299</v>
      </c>
      <c r="C4" s="397"/>
      <c r="D4" s="397"/>
      <c r="E4" s="397"/>
      <c r="F4" s="397"/>
      <c r="G4" s="397"/>
      <c r="H4" s="397"/>
      <c r="I4" s="397"/>
      <c r="J4" s="397"/>
      <c r="K4" s="397"/>
      <c r="L4" s="397"/>
    </row>
    <row r="5" spans="2:12" ht="2.25" customHeight="1" thickBot="1" x14ac:dyDescent="0.3"/>
    <row r="6" spans="2:12" ht="21.6" customHeight="1" thickBot="1" x14ac:dyDescent="0.3">
      <c r="B6" s="390" t="s">
        <v>34</v>
      </c>
      <c r="C6" s="390" t="s">
        <v>296</v>
      </c>
      <c r="D6" s="398" t="s">
        <v>33</v>
      </c>
      <c r="E6" s="398"/>
      <c r="F6" s="417" t="s">
        <v>137</v>
      </c>
      <c r="G6" s="412"/>
      <c r="H6" s="412"/>
      <c r="I6" s="412"/>
      <c r="J6" s="412"/>
      <c r="K6" s="412"/>
      <c r="L6" s="413"/>
    </row>
    <row r="7" spans="2:12" ht="29.25" customHeight="1" thickBot="1" x14ac:dyDescent="0.3">
      <c r="B7" s="391"/>
      <c r="C7" s="391"/>
      <c r="D7" s="19" t="s">
        <v>298</v>
      </c>
      <c r="E7" s="18" t="s">
        <v>297</v>
      </c>
      <c r="F7" s="24" t="s">
        <v>27</v>
      </c>
      <c r="G7" s="24" t="s">
        <v>28</v>
      </c>
      <c r="H7" s="24" t="s">
        <v>29</v>
      </c>
      <c r="I7" s="24" t="s">
        <v>30</v>
      </c>
      <c r="J7" s="24" t="s">
        <v>31</v>
      </c>
      <c r="K7" s="24" t="s">
        <v>25</v>
      </c>
      <c r="L7" s="24" t="s">
        <v>32</v>
      </c>
    </row>
    <row r="8" spans="2:12" ht="3" customHeight="1" x14ac:dyDescent="0.25"/>
    <row r="9" spans="2:12" ht="15.75" customHeight="1" thickBot="1" x14ac:dyDescent="0.3">
      <c r="B9" s="416" t="s">
        <v>295</v>
      </c>
      <c r="C9" s="416"/>
      <c r="D9" s="416"/>
      <c r="E9" s="416"/>
      <c r="F9" s="416"/>
      <c r="G9" s="416"/>
      <c r="H9" s="416"/>
      <c r="I9" s="416"/>
      <c r="J9" s="416"/>
      <c r="K9" s="416"/>
      <c r="L9" s="416"/>
    </row>
    <row r="10" spans="2:12" ht="24.75" thickBot="1" x14ac:dyDescent="0.3">
      <c r="B10" s="4" t="s">
        <v>41</v>
      </c>
      <c r="C10" s="4" t="s">
        <v>64</v>
      </c>
      <c r="D10" s="4" t="s">
        <v>62</v>
      </c>
      <c r="E10" s="4" t="s">
        <v>63</v>
      </c>
      <c r="F10" s="67">
        <f>3.54*1000</f>
        <v>3540</v>
      </c>
      <c r="G10" s="67">
        <f>2.35*1000</f>
        <v>2350</v>
      </c>
      <c r="H10" s="67">
        <f>2.06*1000</f>
        <v>2060</v>
      </c>
      <c r="I10" s="67">
        <f>2.67*1000</f>
        <v>2670</v>
      </c>
      <c r="J10" s="67">
        <f>2.36*1000</f>
        <v>2360</v>
      </c>
      <c r="K10" s="67">
        <v>315</v>
      </c>
      <c r="L10" s="70">
        <v>309</v>
      </c>
    </row>
    <row r="11" spans="2:12" ht="15.75" thickBot="1" x14ac:dyDescent="0.3">
      <c r="B11" s="4" t="s">
        <v>23</v>
      </c>
      <c r="C11" s="14" t="s">
        <v>37</v>
      </c>
      <c r="D11" s="14" t="s">
        <v>65</v>
      </c>
      <c r="E11" s="4" t="s">
        <v>66</v>
      </c>
      <c r="F11" s="68">
        <v>7.23</v>
      </c>
      <c r="G11" s="68">
        <v>7.2</v>
      </c>
      <c r="H11" s="68">
        <v>7.29</v>
      </c>
      <c r="I11" s="68">
        <v>7.29</v>
      </c>
      <c r="J11" s="68">
        <v>7.34</v>
      </c>
      <c r="K11" s="68">
        <v>7.01</v>
      </c>
      <c r="L11" s="66">
        <v>7.01</v>
      </c>
    </row>
    <row r="12" spans="2:12" ht="24.75" thickBot="1" x14ac:dyDescent="0.3">
      <c r="B12" s="4" t="s">
        <v>38</v>
      </c>
      <c r="C12" s="4" t="s">
        <v>24</v>
      </c>
      <c r="D12" s="14" t="s">
        <v>37</v>
      </c>
      <c r="E12" s="14" t="s">
        <v>37</v>
      </c>
      <c r="F12" s="67">
        <v>1167</v>
      </c>
      <c r="G12" s="67">
        <v>1151</v>
      </c>
      <c r="H12" s="67">
        <v>1524</v>
      </c>
      <c r="I12" s="67">
        <v>1318</v>
      </c>
      <c r="J12" s="67">
        <v>1160</v>
      </c>
      <c r="K12" s="71">
        <v>156.4</v>
      </c>
      <c r="L12" s="28">
        <v>156.5</v>
      </c>
    </row>
    <row r="13" spans="2:12" ht="15.75" thickBot="1" x14ac:dyDescent="0.3">
      <c r="B13" s="4" t="s">
        <v>39</v>
      </c>
      <c r="C13" s="4" t="s">
        <v>40</v>
      </c>
      <c r="D13" s="14" t="s">
        <v>37</v>
      </c>
      <c r="E13" s="14" t="s">
        <v>37</v>
      </c>
      <c r="F13" s="69">
        <v>27</v>
      </c>
      <c r="G13" s="69">
        <v>26.3</v>
      </c>
      <c r="H13" s="69">
        <v>26.7</v>
      </c>
      <c r="I13" s="69">
        <v>26.7</v>
      </c>
      <c r="J13" s="69">
        <v>26.6</v>
      </c>
      <c r="K13" s="69">
        <v>23.2</v>
      </c>
      <c r="L13" s="28">
        <v>22.7</v>
      </c>
    </row>
    <row r="14" spans="2:12" ht="15.75" customHeight="1" thickBot="1" x14ac:dyDescent="0.3">
      <c r="B14" s="416" t="s">
        <v>294</v>
      </c>
      <c r="C14" s="416"/>
      <c r="D14" s="416"/>
      <c r="E14" s="416"/>
      <c r="F14" s="416"/>
      <c r="G14" s="416"/>
      <c r="H14" s="416"/>
      <c r="I14" s="416"/>
      <c r="J14" s="416"/>
      <c r="K14" s="416"/>
      <c r="L14" s="416"/>
    </row>
    <row r="15" spans="2:12" ht="1.5" customHeight="1" thickBot="1" x14ac:dyDescent="0.3"/>
    <row r="16" spans="2:12" ht="15.75" thickBot="1" x14ac:dyDescent="0.3">
      <c r="B16" s="4" t="s">
        <v>85</v>
      </c>
      <c r="C16" s="4" t="s">
        <v>53</v>
      </c>
      <c r="D16" s="14" t="s">
        <v>37</v>
      </c>
      <c r="E16" s="14" t="s">
        <v>37</v>
      </c>
      <c r="F16" s="4">
        <v>13.1</v>
      </c>
      <c r="G16" s="4">
        <v>15</v>
      </c>
      <c r="H16" s="4">
        <v>11.5</v>
      </c>
      <c r="I16" s="4">
        <v>19.100000000000001</v>
      </c>
      <c r="J16" s="4">
        <v>29.1</v>
      </c>
      <c r="K16" s="4">
        <v>129</v>
      </c>
      <c r="L16" s="4">
        <v>104</v>
      </c>
    </row>
    <row r="17" spans="2:12" ht="15.75" thickBot="1" x14ac:dyDescent="0.3">
      <c r="B17" s="4" t="s">
        <v>46</v>
      </c>
      <c r="C17" s="4" t="s">
        <v>54</v>
      </c>
      <c r="D17" s="4" t="s">
        <v>59</v>
      </c>
      <c r="E17" s="4" t="s">
        <v>59</v>
      </c>
      <c r="F17" s="4">
        <f>66*3</f>
        <v>198</v>
      </c>
      <c r="G17" s="4">
        <f>37*3</f>
        <v>111</v>
      </c>
      <c r="H17" s="4">
        <f>64*3</f>
        <v>192</v>
      </c>
      <c r="I17" s="4">
        <f>71*3</f>
        <v>213</v>
      </c>
      <c r="J17" s="4">
        <f>63*3</f>
        <v>189</v>
      </c>
      <c r="K17" s="4">
        <f>28*3</f>
        <v>84</v>
      </c>
      <c r="L17" s="4">
        <f>29*3</f>
        <v>87</v>
      </c>
    </row>
    <row r="18" spans="2:12" ht="15.75" thickBot="1" x14ac:dyDescent="0.3">
      <c r="B18" s="4" t="s">
        <v>47</v>
      </c>
      <c r="C18" s="4" t="s">
        <v>54</v>
      </c>
      <c r="D18" s="4">
        <v>500</v>
      </c>
      <c r="E18" s="14" t="s">
        <v>37</v>
      </c>
      <c r="F18" s="29">
        <f>17.6*3</f>
        <v>52.800000000000004</v>
      </c>
      <c r="G18" s="29">
        <f>17.3*3</f>
        <v>51.900000000000006</v>
      </c>
      <c r="H18" s="29">
        <f>5*3</f>
        <v>15</v>
      </c>
      <c r="I18" s="29">
        <f>7.9*3</f>
        <v>23.700000000000003</v>
      </c>
      <c r="J18" s="29">
        <f>10.3*3</f>
        <v>30.900000000000002</v>
      </c>
      <c r="K18" s="4">
        <f>2.5*3</f>
        <v>7.5</v>
      </c>
      <c r="L18" s="4">
        <f>4.5*3</f>
        <v>13.5</v>
      </c>
    </row>
    <row r="19" spans="2:12" ht="15.75" thickBot="1" x14ac:dyDescent="0.3">
      <c r="B19" s="4" t="s">
        <v>48</v>
      </c>
      <c r="C19" s="4" t="s">
        <v>54</v>
      </c>
      <c r="D19" s="4">
        <v>100</v>
      </c>
      <c r="E19" s="4">
        <v>100</v>
      </c>
      <c r="F19" s="4">
        <v>9.8000000000000007</v>
      </c>
      <c r="G19" s="4">
        <v>7</v>
      </c>
      <c r="H19" s="28">
        <v>5.7</v>
      </c>
      <c r="I19" s="4">
        <v>2</v>
      </c>
      <c r="J19" s="4">
        <v>4.8</v>
      </c>
      <c r="K19" s="4">
        <v>2.6</v>
      </c>
      <c r="L19" s="4">
        <v>1.5</v>
      </c>
    </row>
    <row r="20" spans="2:12" ht="15.75" thickBot="1" x14ac:dyDescent="0.3">
      <c r="B20" s="4" t="s">
        <v>49</v>
      </c>
      <c r="C20" s="4" t="s">
        <v>54</v>
      </c>
      <c r="D20" s="4" t="s">
        <v>67</v>
      </c>
      <c r="E20" s="4" t="s">
        <v>67</v>
      </c>
      <c r="F20" s="4">
        <v>2.9</v>
      </c>
      <c r="G20" s="4">
        <v>2</v>
      </c>
      <c r="H20" s="29">
        <v>2.2999999999999998</v>
      </c>
      <c r="I20" s="29">
        <v>2.5</v>
      </c>
      <c r="J20" s="4">
        <v>2.8</v>
      </c>
      <c r="K20" s="29">
        <v>2.2000000000000002</v>
      </c>
      <c r="L20" s="29">
        <v>2.7</v>
      </c>
    </row>
    <row r="21" spans="2:12" ht="15.75" thickBot="1" x14ac:dyDescent="0.3">
      <c r="B21" s="4" t="s">
        <v>50</v>
      </c>
      <c r="C21" s="4" t="s">
        <v>54</v>
      </c>
      <c r="D21" s="4">
        <v>5</v>
      </c>
      <c r="E21" s="14" t="s">
        <v>37</v>
      </c>
      <c r="F21" s="4">
        <v>3.7999999999999999E-2</v>
      </c>
      <c r="G21" s="4">
        <v>4.5999999999999999E-2</v>
      </c>
      <c r="H21" s="4">
        <v>4.3999999999999997E-2</v>
      </c>
      <c r="I21" s="4">
        <v>4.2999999999999997E-2</v>
      </c>
      <c r="J21" s="4">
        <v>5.0999999999999997E-2</v>
      </c>
      <c r="K21" s="4">
        <v>0.40600000000000003</v>
      </c>
      <c r="L21" s="4">
        <v>0.59</v>
      </c>
    </row>
    <row r="22" spans="2:12" ht="15.75" thickBot="1" x14ac:dyDescent="0.3">
      <c r="B22" s="4" t="s">
        <v>51</v>
      </c>
      <c r="C22" s="4" t="s">
        <v>54</v>
      </c>
      <c r="D22" s="4" t="s">
        <v>67</v>
      </c>
      <c r="E22" s="4" t="s">
        <v>68</v>
      </c>
      <c r="F22" s="29">
        <v>3.71</v>
      </c>
      <c r="G22" s="29">
        <v>4.75</v>
      </c>
      <c r="H22" s="29">
        <v>4.07</v>
      </c>
      <c r="I22" s="29">
        <v>9.24</v>
      </c>
      <c r="J22" s="29">
        <v>3.01</v>
      </c>
      <c r="K22" s="4">
        <v>0.41</v>
      </c>
      <c r="L22" s="4">
        <v>0.78</v>
      </c>
    </row>
    <row r="23" spans="2:12" ht="24.75" thickBot="1" x14ac:dyDescent="0.3">
      <c r="B23" s="4" t="s">
        <v>52</v>
      </c>
      <c r="C23" s="4" t="s">
        <v>54</v>
      </c>
      <c r="D23" s="4" t="s">
        <v>69</v>
      </c>
      <c r="E23" s="4">
        <v>1</v>
      </c>
      <c r="F23" s="4">
        <v>0.38</v>
      </c>
      <c r="G23" s="4">
        <v>0.155</v>
      </c>
      <c r="H23" s="4">
        <v>0.29599999999999999</v>
      </c>
      <c r="I23" s="4">
        <v>0.111</v>
      </c>
      <c r="J23" s="4">
        <v>7.8E-2</v>
      </c>
      <c r="K23" s="4">
        <v>0.14599999999999999</v>
      </c>
      <c r="L23" s="4">
        <v>0.11</v>
      </c>
    </row>
    <row r="24" spans="2:12" ht="15.75" customHeight="1" thickBot="1" x14ac:dyDescent="0.3">
      <c r="B24" s="4" t="s">
        <v>45</v>
      </c>
      <c r="C24" s="4" t="s">
        <v>54</v>
      </c>
      <c r="D24" s="14" t="s">
        <v>37</v>
      </c>
      <c r="E24" s="14" t="s">
        <v>37</v>
      </c>
      <c r="F24" s="4" t="s">
        <v>300</v>
      </c>
      <c r="G24" s="4" t="s">
        <v>300</v>
      </c>
      <c r="H24" s="4" t="s">
        <v>300</v>
      </c>
      <c r="I24" s="4" t="s">
        <v>300</v>
      </c>
      <c r="J24" s="4" t="s">
        <v>300</v>
      </c>
      <c r="K24" s="4" t="s">
        <v>300</v>
      </c>
      <c r="L24" s="4" t="s">
        <v>300</v>
      </c>
    </row>
    <row r="25" spans="2:12" ht="15.75" customHeight="1" thickBot="1" x14ac:dyDescent="0.3">
      <c r="B25" s="416" t="s">
        <v>293</v>
      </c>
      <c r="C25" s="416"/>
      <c r="D25" s="416"/>
      <c r="E25" s="416"/>
      <c r="F25" s="416"/>
      <c r="G25" s="416"/>
      <c r="H25" s="416"/>
      <c r="I25" s="416"/>
      <c r="J25" s="416"/>
      <c r="K25" s="416"/>
      <c r="L25" s="416"/>
    </row>
    <row r="26" spans="2:12" ht="1.5" customHeight="1" x14ac:dyDescent="0.25"/>
    <row r="27" spans="2:12" ht="1.5" customHeight="1" thickBot="1" x14ac:dyDescent="0.3"/>
    <row r="28" spans="2:12" ht="24.75" thickBot="1" x14ac:dyDescent="0.3">
      <c r="B28" s="4" t="s">
        <v>57</v>
      </c>
      <c r="C28" s="4" t="s">
        <v>58</v>
      </c>
      <c r="D28" s="14" t="s">
        <v>37</v>
      </c>
      <c r="E28" s="14" t="s">
        <v>37</v>
      </c>
      <c r="F28" s="28">
        <v>11</v>
      </c>
      <c r="G28" s="28">
        <v>11</v>
      </c>
      <c r="H28" s="28">
        <v>11</v>
      </c>
      <c r="I28" s="28">
        <v>11</v>
      </c>
      <c r="J28" s="28">
        <v>11</v>
      </c>
      <c r="K28" s="28">
        <v>7.3</v>
      </c>
      <c r="L28" s="28">
        <v>3.6</v>
      </c>
    </row>
    <row r="29" spans="2:12" ht="24.75" thickBot="1" x14ac:dyDescent="0.3">
      <c r="B29" s="4" t="s">
        <v>55</v>
      </c>
      <c r="C29" s="4" t="s">
        <v>58</v>
      </c>
      <c r="D29" s="4" t="s">
        <v>59</v>
      </c>
      <c r="E29" s="4" t="s">
        <v>59</v>
      </c>
      <c r="F29" s="28">
        <v>3</v>
      </c>
      <c r="G29" s="28">
        <v>7.2</v>
      </c>
      <c r="H29" s="28">
        <v>3</v>
      </c>
      <c r="I29" s="28">
        <v>11</v>
      </c>
      <c r="J29" s="28">
        <v>7.3</v>
      </c>
      <c r="K29" s="28">
        <v>7.3</v>
      </c>
      <c r="L29" s="28">
        <v>3.6</v>
      </c>
    </row>
    <row r="30" spans="2:12" ht="15.75" thickBot="1" x14ac:dyDescent="0.3">
      <c r="B30" s="4" t="s">
        <v>56</v>
      </c>
      <c r="C30" s="4" t="s">
        <v>58</v>
      </c>
      <c r="D30" s="4" t="s">
        <v>59</v>
      </c>
      <c r="E30" s="14" t="s">
        <v>37</v>
      </c>
      <c r="F30" s="28">
        <v>3</v>
      </c>
      <c r="G30" s="28">
        <v>3.6</v>
      </c>
      <c r="H30" s="28">
        <v>3</v>
      </c>
      <c r="I30" s="28">
        <v>7.2</v>
      </c>
      <c r="J30" s="28">
        <v>3</v>
      </c>
      <c r="K30" s="28">
        <v>3</v>
      </c>
      <c r="L30" s="28">
        <v>3.6</v>
      </c>
    </row>
    <row r="31" spans="2:12" ht="24" customHeight="1" x14ac:dyDescent="0.25">
      <c r="B31" s="418" t="s">
        <v>301</v>
      </c>
      <c r="C31" s="418"/>
      <c r="D31" s="418"/>
      <c r="E31" s="418"/>
      <c r="F31" s="418"/>
    </row>
    <row r="32" spans="2:12" x14ac:dyDescent="0.25">
      <c r="B32" s="26"/>
      <c r="C32" s="26"/>
    </row>
    <row r="33" spans="2:3" x14ac:dyDescent="0.25">
      <c r="B33" s="26"/>
      <c r="C33" s="26"/>
    </row>
  </sheetData>
  <mergeCells count="9">
    <mergeCell ref="B31:F31"/>
    <mergeCell ref="B14:L14"/>
    <mergeCell ref="B25:L25"/>
    <mergeCell ref="B4:L4"/>
    <mergeCell ref="B6:B7"/>
    <mergeCell ref="C6:C7"/>
    <mergeCell ref="D6:E6"/>
    <mergeCell ref="F6:L6"/>
    <mergeCell ref="B9:L9"/>
  </mergeCells>
  <pageMargins left="0.7" right="0.7" top="0.75" bottom="0.75" header="0.3" footer="0.3"/>
  <pageSetup paperSize="9" scale="57" orientation="portrait" r:id="rId1"/>
  <oleObjects>
    <mc:AlternateContent xmlns:mc="http://schemas.openxmlformats.org/markup-compatibility/2006">
      <mc:Choice Requires="x14">
        <oleObject progId="Paint.Picture" shapeId="8193" r:id="rId4">
          <objectPr defaultSize="0" autoPict="0" r:id="rId5">
            <anchor moveWithCells="1">
              <from>
                <xdr:col>14</xdr:col>
                <xdr:colOff>123825</xdr:colOff>
                <xdr:row>2</xdr:row>
                <xdr:rowOff>57150</xdr:rowOff>
              </from>
              <to>
                <xdr:col>21</xdr:col>
                <xdr:colOff>57150</xdr:colOff>
                <xdr:row>22</xdr:row>
                <xdr:rowOff>76200</xdr:rowOff>
              </to>
            </anchor>
          </objectPr>
        </oleObject>
      </mc:Choice>
      <mc:Fallback>
        <oleObject progId="Paint.Picture" shapeId="8193" r:id="rId4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O32"/>
  <sheetViews>
    <sheetView showGridLines="0" view="pageBreakPreview" topLeftCell="A19" zoomScaleNormal="145" zoomScaleSheetLayoutView="100" workbookViewId="0">
      <selection activeCell="F28" sqref="F28:L29"/>
    </sheetView>
  </sheetViews>
  <sheetFormatPr baseColWidth="10" defaultColWidth="11.42578125" defaultRowHeight="15" x14ac:dyDescent="0.25"/>
  <cols>
    <col min="2" max="2" width="15.7109375" customWidth="1"/>
    <col min="3" max="3" width="10.28515625" customWidth="1"/>
    <col min="4" max="4" width="10.42578125" customWidth="1"/>
    <col min="5" max="5" width="11.28515625" customWidth="1"/>
    <col min="6" max="6" width="8.42578125" customWidth="1"/>
    <col min="7" max="7" width="7.5703125" customWidth="1"/>
    <col min="8" max="8" width="7.7109375" customWidth="1"/>
    <col min="9" max="9" width="9.28515625" customWidth="1"/>
    <col min="10" max="10" width="8.85546875" customWidth="1"/>
    <col min="11" max="11" width="7.140625" customWidth="1"/>
    <col min="12" max="12" width="21.140625" customWidth="1"/>
  </cols>
  <sheetData>
    <row r="1" spans="2:14" ht="6" customHeight="1" x14ac:dyDescent="0.25"/>
    <row r="2" spans="2:14" ht="6" customHeight="1" x14ac:dyDescent="0.25"/>
    <row r="3" spans="2:14" ht="6.75" customHeight="1" x14ac:dyDescent="0.25"/>
    <row r="4" spans="2:14" ht="37.5" customHeight="1" x14ac:dyDescent="0.25">
      <c r="B4" s="396" t="s">
        <v>370</v>
      </c>
      <c r="C4" s="397"/>
      <c r="D4" s="397"/>
      <c r="E4" s="397"/>
      <c r="F4" s="397"/>
      <c r="G4" s="397"/>
      <c r="H4" s="397"/>
      <c r="I4" s="397"/>
      <c r="J4" s="397"/>
      <c r="K4" s="397"/>
      <c r="L4" s="397"/>
    </row>
    <row r="5" spans="2:14" ht="2.25" customHeight="1" thickBot="1" x14ac:dyDescent="0.3"/>
    <row r="6" spans="2:14" ht="24.75" customHeight="1" thickBot="1" x14ac:dyDescent="0.3">
      <c r="B6" s="390" t="s">
        <v>34</v>
      </c>
      <c r="C6" s="390" t="s">
        <v>296</v>
      </c>
      <c r="D6" s="398" t="s">
        <v>33</v>
      </c>
      <c r="E6" s="398"/>
      <c r="F6" s="417" t="s">
        <v>137</v>
      </c>
      <c r="G6" s="412"/>
      <c r="H6" s="412"/>
      <c r="I6" s="412"/>
      <c r="J6" s="412"/>
      <c r="K6" s="412"/>
      <c r="L6" s="413"/>
    </row>
    <row r="7" spans="2:14" ht="29.25" customHeight="1" thickBot="1" x14ac:dyDescent="0.3">
      <c r="B7" s="391"/>
      <c r="C7" s="391"/>
      <c r="D7" s="19" t="s">
        <v>298</v>
      </c>
      <c r="E7" s="18" t="s">
        <v>297</v>
      </c>
      <c r="F7" s="24" t="s">
        <v>27</v>
      </c>
      <c r="G7" s="24" t="s">
        <v>28</v>
      </c>
      <c r="H7" s="24" t="s">
        <v>29</v>
      </c>
      <c r="I7" s="24" t="s">
        <v>30</v>
      </c>
      <c r="J7" s="24" t="s">
        <v>31</v>
      </c>
      <c r="K7" s="24" t="s">
        <v>25</v>
      </c>
      <c r="L7" s="24" t="s">
        <v>32</v>
      </c>
    </row>
    <row r="8" spans="2:14" ht="3" customHeight="1" x14ac:dyDescent="0.25"/>
    <row r="9" spans="2:14" ht="15.75" customHeight="1" thickBot="1" x14ac:dyDescent="0.3">
      <c r="B9" s="416" t="s">
        <v>295</v>
      </c>
      <c r="C9" s="416"/>
      <c r="D9" s="416"/>
      <c r="E9" s="416"/>
      <c r="F9" s="416"/>
      <c r="G9" s="416"/>
      <c r="H9" s="416"/>
      <c r="I9" s="416"/>
      <c r="J9" s="416"/>
      <c r="K9" s="416"/>
      <c r="L9" s="416"/>
    </row>
    <row r="10" spans="2:14" ht="24.75" thickBot="1" x14ac:dyDescent="0.3">
      <c r="B10" s="4" t="s">
        <v>41</v>
      </c>
      <c r="C10" s="4" t="s">
        <v>64</v>
      </c>
      <c r="D10" s="4" t="s">
        <v>62</v>
      </c>
      <c r="E10" s="4" t="s">
        <v>63</v>
      </c>
      <c r="F10" s="346">
        <v>3330</v>
      </c>
      <c r="G10" s="67">
        <v>2330</v>
      </c>
      <c r="H10" s="346">
        <v>2970</v>
      </c>
      <c r="I10" s="346">
        <v>2770</v>
      </c>
      <c r="J10" s="67">
        <v>2260</v>
      </c>
      <c r="K10" s="67">
        <v>480</v>
      </c>
      <c r="L10" s="70">
        <v>470</v>
      </c>
      <c r="M10" s="340">
        <f>MAX(F10:L10)</f>
        <v>3330</v>
      </c>
      <c r="N10" s="340">
        <f>MIN(F10:L10)</f>
        <v>470</v>
      </c>
    </row>
    <row r="11" spans="2:14" ht="15.75" thickBot="1" x14ac:dyDescent="0.3">
      <c r="B11" s="4" t="s">
        <v>23</v>
      </c>
      <c r="C11" s="14" t="s">
        <v>37</v>
      </c>
      <c r="D11" s="14" t="s">
        <v>65</v>
      </c>
      <c r="E11" s="4" t="s">
        <v>66</v>
      </c>
      <c r="F11" s="69">
        <v>6.9</v>
      </c>
      <c r="G11" s="69">
        <v>6.85</v>
      </c>
      <c r="H11" s="69">
        <v>7.04</v>
      </c>
      <c r="I11" s="69">
        <v>7.26</v>
      </c>
      <c r="J11" s="69">
        <v>7.47</v>
      </c>
      <c r="K11" s="69">
        <v>7.78</v>
      </c>
      <c r="L11" s="28">
        <v>7.65</v>
      </c>
      <c r="M11" s="344">
        <f t="shared" ref="M11:M29" si="0">MAX(F11:L11)</f>
        <v>7.78</v>
      </c>
      <c r="N11" s="344">
        <f t="shared" ref="N11:N29" si="1">MIN(F11:L11)</f>
        <v>6.85</v>
      </c>
    </row>
    <row r="12" spans="2:14" ht="24.75" thickBot="1" x14ac:dyDescent="0.3">
      <c r="B12" s="4" t="s">
        <v>38</v>
      </c>
      <c r="C12" s="4" t="s">
        <v>24</v>
      </c>
      <c r="D12" s="14" t="s">
        <v>37</v>
      </c>
      <c r="E12" s="14" t="s">
        <v>37</v>
      </c>
      <c r="F12" s="345">
        <v>1633</v>
      </c>
      <c r="G12" s="345">
        <v>1087</v>
      </c>
      <c r="H12" s="345">
        <v>1445</v>
      </c>
      <c r="I12" s="345">
        <v>1348</v>
      </c>
      <c r="J12" s="345">
        <v>1104</v>
      </c>
      <c r="K12" s="345">
        <v>232</v>
      </c>
      <c r="L12" s="70">
        <v>227</v>
      </c>
      <c r="M12" s="340">
        <f t="shared" si="0"/>
        <v>1633</v>
      </c>
      <c r="N12" s="340">
        <f t="shared" si="1"/>
        <v>227</v>
      </c>
    </row>
    <row r="13" spans="2:14" ht="15.75" thickBot="1" x14ac:dyDescent="0.3">
      <c r="B13" s="4" t="s">
        <v>39</v>
      </c>
      <c r="C13" s="4" t="s">
        <v>40</v>
      </c>
      <c r="D13" s="14" t="s">
        <v>37</v>
      </c>
      <c r="E13" s="14" t="s">
        <v>37</v>
      </c>
      <c r="F13" s="343">
        <v>27.5</v>
      </c>
      <c r="G13" s="343">
        <v>26.7</v>
      </c>
      <c r="H13" s="343">
        <v>27.6</v>
      </c>
      <c r="I13" s="343">
        <v>27.1</v>
      </c>
      <c r="J13" s="343">
        <v>26.5</v>
      </c>
      <c r="K13" s="343">
        <v>25.1</v>
      </c>
      <c r="L13" s="70">
        <v>25</v>
      </c>
      <c r="M13" s="340">
        <f t="shared" si="0"/>
        <v>27.6</v>
      </c>
      <c r="N13" s="340">
        <f t="shared" si="1"/>
        <v>25</v>
      </c>
    </row>
    <row r="14" spans="2:14" ht="15.75" thickBot="1" x14ac:dyDescent="0.3">
      <c r="B14" s="4" t="s">
        <v>42</v>
      </c>
      <c r="C14" s="4" t="s">
        <v>53</v>
      </c>
      <c r="D14" s="14" t="s">
        <v>37</v>
      </c>
      <c r="E14" s="14" t="s">
        <v>37</v>
      </c>
      <c r="F14" s="4">
        <v>10.4</v>
      </c>
      <c r="G14" s="4">
        <v>4.7</v>
      </c>
      <c r="H14" s="4">
        <v>9.1300000000000008</v>
      </c>
      <c r="I14" s="4">
        <v>13</v>
      </c>
      <c r="J14" s="4">
        <v>18.899999999999999</v>
      </c>
      <c r="K14" s="4">
        <v>41.2</v>
      </c>
      <c r="L14" s="4">
        <v>46.4</v>
      </c>
      <c r="M14" s="344">
        <f t="shared" si="0"/>
        <v>46.4</v>
      </c>
      <c r="N14" s="344">
        <f t="shared" si="1"/>
        <v>4.7</v>
      </c>
    </row>
    <row r="15" spans="2:14" ht="15.75" customHeight="1" thickBot="1" x14ac:dyDescent="0.3">
      <c r="B15" s="416" t="s">
        <v>294</v>
      </c>
      <c r="C15" s="416"/>
      <c r="D15" s="416"/>
      <c r="E15" s="416"/>
      <c r="F15" s="416"/>
      <c r="G15" s="416"/>
      <c r="H15" s="416"/>
      <c r="I15" s="416"/>
      <c r="J15" s="416"/>
      <c r="K15" s="416"/>
      <c r="L15" s="416"/>
      <c r="M15" s="340">
        <f t="shared" si="0"/>
        <v>0</v>
      </c>
      <c r="N15" s="340">
        <f t="shared" si="1"/>
        <v>0</v>
      </c>
    </row>
    <row r="16" spans="2:14" ht="1.5" customHeight="1" thickBot="1" x14ac:dyDescent="0.3">
      <c r="M16" s="340">
        <f t="shared" ref="M16:M17" si="2">MAX(F16:L16)</f>
        <v>0</v>
      </c>
      <c r="N16" s="340">
        <f t="shared" ref="N16:N17" si="3">MIN(F16:L16)</f>
        <v>0</v>
      </c>
    </row>
    <row r="17" spans="2:15" ht="15.75" thickBot="1" x14ac:dyDescent="0.3">
      <c r="B17" s="4" t="s">
        <v>48</v>
      </c>
      <c r="C17" s="4" t="s">
        <v>54</v>
      </c>
      <c r="D17" s="4">
        <v>100</v>
      </c>
      <c r="E17" s="4">
        <v>100</v>
      </c>
      <c r="F17" s="4">
        <v>10</v>
      </c>
      <c r="G17" s="4">
        <v>14</v>
      </c>
      <c r="H17" s="4">
        <v>15</v>
      </c>
      <c r="I17" s="4">
        <v>11</v>
      </c>
      <c r="J17" s="4">
        <v>14</v>
      </c>
      <c r="K17" s="4">
        <v>13</v>
      </c>
      <c r="L17" s="4">
        <v>15</v>
      </c>
      <c r="M17" s="340">
        <f t="shared" si="2"/>
        <v>15</v>
      </c>
      <c r="N17" s="340">
        <f t="shared" si="3"/>
        <v>10</v>
      </c>
      <c r="O17" s="73"/>
    </row>
    <row r="18" spans="2:15" ht="15.75" thickBot="1" x14ac:dyDescent="0.3">
      <c r="B18" s="4" t="s">
        <v>368</v>
      </c>
      <c r="C18" s="4" t="s">
        <v>54</v>
      </c>
      <c r="D18" s="4">
        <v>10</v>
      </c>
      <c r="E18" s="14">
        <v>10</v>
      </c>
      <c r="F18" s="338">
        <v>11</v>
      </c>
      <c r="G18" s="338">
        <v>13</v>
      </c>
      <c r="H18" s="338">
        <v>19</v>
      </c>
      <c r="I18" s="338">
        <v>18</v>
      </c>
      <c r="J18" s="338">
        <v>21</v>
      </c>
      <c r="K18" s="5">
        <v>9</v>
      </c>
      <c r="L18" s="338">
        <v>13</v>
      </c>
      <c r="M18" s="340">
        <f t="shared" si="0"/>
        <v>21</v>
      </c>
      <c r="N18" s="340">
        <f t="shared" si="1"/>
        <v>9</v>
      </c>
    </row>
    <row r="19" spans="2:15" ht="15.75" thickBot="1" x14ac:dyDescent="0.3">
      <c r="B19" s="4" t="s">
        <v>49</v>
      </c>
      <c r="C19" s="4" t="s">
        <v>54</v>
      </c>
      <c r="D19" s="4" t="s">
        <v>67</v>
      </c>
      <c r="E19" s="4" t="s">
        <v>67</v>
      </c>
      <c r="F19" s="338">
        <v>0.4</v>
      </c>
      <c r="G19" s="338">
        <v>0.5</v>
      </c>
      <c r="H19" s="338">
        <v>0.4</v>
      </c>
      <c r="I19" s="338">
        <v>0.7</v>
      </c>
      <c r="J19" s="338">
        <v>1.4</v>
      </c>
      <c r="K19" s="339">
        <v>0.4</v>
      </c>
      <c r="L19" s="338">
        <v>0.3</v>
      </c>
      <c r="M19" s="344">
        <f t="shared" si="0"/>
        <v>1.4</v>
      </c>
      <c r="N19" s="344">
        <f t="shared" si="1"/>
        <v>0.3</v>
      </c>
    </row>
    <row r="20" spans="2:15" ht="15.75" thickBot="1" x14ac:dyDescent="0.3">
      <c r="B20" s="4" t="s">
        <v>46</v>
      </c>
      <c r="C20" s="4" t="s">
        <v>54</v>
      </c>
      <c r="D20" s="4" t="s">
        <v>59</v>
      </c>
      <c r="E20" s="4" t="s">
        <v>59</v>
      </c>
      <c r="F20" s="4">
        <f>5*47</f>
        <v>235</v>
      </c>
      <c r="G20" s="4">
        <f>5*27</f>
        <v>135</v>
      </c>
      <c r="H20" s="4">
        <f>5*37</f>
        <v>185</v>
      </c>
      <c r="I20" s="4">
        <f>5*43</f>
        <v>215</v>
      </c>
      <c r="J20" s="4">
        <f>5*31</f>
        <v>155</v>
      </c>
      <c r="K20" s="4">
        <f>5*25</f>
        <v>125</v>
      </c>
      <c r="L20" s="4">
        <f>5*20</f>
        <v>100</v>
      </c>
      <c r="M20" s="340">
        <f t="shared" si="0"/>
        <v>235</v>
      </c>
      <c r="N20" s="340">
        <f t="shared" si="1"/>
        <v>100</v>
      </c>
    </row>
    <row r="21" spans="2:15" ht="15.75" thickBot="1" x14ac:dyDescent="0.3">
      <c r="B21" s="4" t="s">
        <v>51</v>
      </c>
      <c r="C21" s="4" t="s">
        <v>54</v>
      </c>
      <c r="D21" s="4" t="s">
        <v>67</v>
      </c>
      <c r="E21" s="4" t="s">
        <v>68</v>
      </c>
      <c r="F21" s="78">
        <v>0.17</v>
      </c>
      <c r="G21" s="78">
        <v>0.21</v>
      </c>
      <c r="H21" s="78">
        <v>0.17</v>
      </c>
      <c r="I21" s="78">
        <v>0.11</v>
      </c>
      <c r="J21" s="78">
        <v>0.18</v>
      </c>
      <c r="K21" s="78">
        <v>0.19</v>
      </c>
      <c r="L21" s="78">
        <v>0.1</v>
      </c>
      <c r="M21" s="344">
        <f t="shared" si="0"/>
        <v>0.21</v>
      </c>
      <c r="N21" s="344">
        <f t="shared" si="1"/>
        <v>0.1</v>
      </c>
    </row>
    <row r="22" spans="2:15" ht="24.75" thickBot="1" x14ac:dyDescent="0.3">
      <c r="B22" s="4" t="s">
        <v>52</v>
      </c>
      <c r="C22" s="4" t="s">
        <v>54</v>
      </c>
      <c r="D22" s="4" t="s">
        <v>69</v>
      </c>
      <c r="E22" s="4">
        <v>1</v>
      </c>
      <c r="F22" s="84">
        <v>0.18</v>
      </c>
      <c r="G22" s="84">
        <v>0.159</v>
      </c>
      <c r="H22" s="84">
        <v>0.245</v>
      </c>
      <c r="I22" s="84">
        <v>0.255</v>
      </c>
      <c r="J22" s="84">
        <v>0.107</v>
      </c>
      <c r="K22" s="84">
        <v>0.20499999999999999</v>
      </c>
      <c r="L22" s="84">
        <v>0.223</v>
      </c>
      <c r="M22" s="341">
        <f t="shared" si="0"/>
        <v>0.255</v>
      </c>
      <c r="N22" s="341">
        <f t="shared" si="1"/>
        <v>0.107</v>
      </c>
    </row>
    <row r="23" spans="2:15" ht="15.75" thickBot="1" x14ac:dyDescent="0.3">
      <c r="B23" s="4" t="s">
        <v>50</v>
      </c>
      <c r="C23" s="4" t="s">
        <v>54</v>
      </c>
      <c r="D23" s="4">
        <v>5</v>
      </c>
      <c r="E23" s="14" t="s">
        <v>37</v>
      </c>
      <c r="F23" s="4">
        <v>0.28599999999999998</v>
      </c>
      <c r="G23" s="4">
        <v>0.29299999999999998</v>
      </c>
      <c r="H23" s="4">
        <v>0.4</v>
      </c>
      <c r="I23" s="4">
        <v>0.46200000000000002</v>
      </c>
      <c r="J23" s="4">
        <v>0.28699999999999998</v>
      </c>
      <c r="K23" s="4">
        <v>1.2789999999999999</v>
      </c>
      <c r="L23" s="4">
        <v>0.66100000000000003</v>
      </c>
      <c r="M23" s="344">
        <f t="shared" ref="M23" si="4">MAX(F23:L23)</f>
        <v>1.2789999999999999</v>
      </c>
      <c r="N23" s="344">
        <f t="shared" ref="N23" si="5">MIN(F23:L23)</f>
        <v>0.28599999999999998</v>
      </c>
    </row>
    <row r="24" spans="2:15" ht="15.75" customHeight="1" thickBot="1" x14ac:dyDescent="0.3">
      <c r="B24" s="4" t="s">
        <v>334</v>
      </c>
      <c r="C24" s="4" t="s">
        <v>54</v>
      </c>
      <c r="D24" s="4">
        <v>2</v>
      </c>
      <c r="E24" s="4">
        <v>24</v>
      </c>
      <c r="F24" s="4">
        <v>0.25</v>
      </c>
      <c r="G24" s="4">
        <v>0.27</v>
      </c>
      <c r="H24" s="4">
        <v>0.23</v>
      </c>
      <c r="I24" s="4">
        <v>0.26</v>
      </c>
      <c r="J24" s="4">
        <v>0.23</v>
      </c>
      <c r="K24" s="4">
        <v>0.46</v>
      </c>
      <c r="L24" s="4">
        <v>0.51</v>
      </c>
      <c r="M24" s="341">
        <f t="shared" si="0"/>
        <v>0.51</v>
      </c>
      <c r="N24" s="341">
        <f t="shared" si="1"/>
        <v>0.23</v>
      </c>
    </row>
    <row r="25" spans="2:15" ht="15.75" customHeight="1" thickBot="1" x14ac:dyDescent="0.3">
      <c r="B25" s="416" t="s">
        <v>293</v>
      </c>
      <c r="C25" s="416"/>
      <c r="D25" s="416"/>
      <c r="E25" s="416"/>
      <c r="F25" s="416"/>
      <c r="G25" s="416"/>
      <c r="H25" s="416"/>
      <c r="I25" s="416"/>
      <c r="J25" s="416"/>
      <c r="K25" s="416"/>
      <c r="L25" s="416"/>
      <c r="M25" s="340">
        <f t="shared" si="0"/>
        <v>0</v>
      </c>
      <c r="N25" s="340">
        <f t="shared" si="1"/>
        <v>0</v>
      </c>
    </row>
    <row r="26" spans="2:15" ht="1.5" customHeight="1" x14ac:dyDescent="0.25">
      <c r="M26" s="340">
        <f t="shared" si="0"/>
        <v>0</v>
      </c>
      <c r="N26" s="340">
        <f t="shared" si="1"/>
        <v>0</v>
      </c>
    </row>
    <row r="27" spans="2:15" ht="1.5" customHeight="1" thickBot="1" x14ac:dyDescent="0.3">
      <c r="M27" s="340">
        <f t="shared" si="0"/>
        <v>0</v>
      </c>
      <c r="N27" s="340">
        <f t="shared" si="1"/>
        <v>0</v>
      </c>
    </row>
    <row r="28" spans="2:15" ht="24.75" thickBot="1" x14ac:dyDescent="0.3">
      <c r="B28" s="4" t="s">
        <v>57</v>
      </c>
      <c r="C28" s="4" t="s">
        <v>58</v>
      </c>
      <c r="D28" s="14" t="s">
        <v>37</v>
      </c>
      <c r="E28" s="14" t="s">
        <v>37</v>
      </c>
      <c r="F28" s="70">
        <v>1100</v>
      </c>
      <c r="G28" s="70">
        <v>1100</v>
      </c>
      <c r="H28" s="70">
        <v>460</v>
      </c>
      <c r="I28" s="70">
        <v>460</v>
      </c>
      <c r="J28" s="70">
        <v>460</v>
      </c>
      <c r="K28" s="70">
        <v>240</v>
      </c>
      <c r="L28" s="70">
        <v>150</v>
      </c>
      <c r="M28" s="340">
        <f t="shared" si="0"/>
        <v>1100</v>
      </c>
      <c r="N28" s="340">
        <f t="shared" si="1"/>
        <v>150</v>
      </c>
    </row>
    <row r="29" spans="2:15" ht="24.75" thickBot="1" x14ac:dyDescent="0.3">
      <c r="B29" s="4" t="s">
        <v>55</v>
      </c>
      <c r="C29" s="4" t="s">
        <v>58</v>
      </c>
      <c r="D29" s="4" t="s">
        <v>59</v>
      </c>
      <c r="E29" s="4" t="s">
        <v>59</v>
      </c>
      <c r="F29" s="70">
        <v>1100</v>
      </c>
      <c r="G29" s="70">
        <v>1100</v>
      </c>
      <c r="H29" s="70">
        <v>460</v>
      </c>
      <c r="I29" s="70">
        <v>210</v>
      </c>
      <c r="J29" s="70">
        <v>240</v>
      </c>
      <c r="K29" s="70">
        <v>210</v>
      </c>
      <c r="L29" s="70">
        <v>150</v>
      </c>
      <c r="M29" s="340">
        <f t="shared" si="0"/>
        <v>1100</v>
      </c>
      <c r="N29" s="340">
        <f t="shared" si="1"/>
        <v>150</v>
      </c>
    </row>
    <row r="31" spans="2:15" x14ac:dyDescent="0.25">
      <c r="B31" s="26"/>
      <c r="C31" s="26"/>
    </row>
    <row r="32" spans="2:15" x14ac:dyDescent="0.25">
      <c r="B32" s="26"/>
      <c r="C32" s="26"/>
    </row>
  </sheetData>
  <mergeCells count="8">
    <mergeCell ref="B15:L15"/>
    <mergeCell ref="B25:L25"/>
    <mergeCell ref="B4:L4"/>
    <mergeCell ref="B6:B7"/>
    <mergeCell ref="C6:C7"/>
    <mergeCell ref="D6:E6"/>
    <mergeCell ref="F6:L6"/>
    <mergeCell ref="B9:L9"/>
  </mergeCells>
  <pageMargins left="0.7" right="0.7" top="0.75" bottom="0.75" header="0.3" footer="0.3"/>
  <pageSetup paperSize="9" scale="62" orientation="portrait" r:id="rId1"/>
  <colBreaks count="1" manualBreakCount="1">
    <brk id="13" max="32" man="1"/>
  </colBreaks>
  <oleObjects>
    <mc:AlternateContent xmlns:mc="http://schemas.openxmlformats.org/markup-compatibility/2006">
      <mc:Choice Requires="x14">
        <oleObject progId="Paint.Picture" shapeId="65537" r:id="rId4">
          <objectPr defaultSize="0" autoPict="0" r:id="rId5">
            <anchor moveWithCells="1">
              <from>
                <xdr:col>15</xdr:col>
                <xdr:colOff>38100</xdr:colOff>
                <xdr:row>14</xdr:row>
                <xdr:rowOff>57150</xdr:rowOff>
              </from>
              <to>
                <xdr:col>21</xdr:col>
                <xdr:colOff>733425</xdr:colOff>
                <xdr:row>36</xdr:row>
                <xdr:rowOff>142875</xdr:rowOff>
              </to>
            </anchor>
          </objectPr>
        </oleObject>
      </mc:Choice>
      <mc:Fallback>
        <oleObject progId="Paint.Picture" shapeId="65537" r:id="rId4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L33"/>
  <sheetViews>
    <sheetView showGridLines="0" view="pageBreakPreview" zoomScaleNormal="145" zoomScaleSheetLayoutView="100" workbookViewId="0">
      <selection activeCell="F16" sqref="F16:L16"/>
    </sheetView>
  </sheetViews>
  <sheetFormatPr baseColWidth="10" defaultColWidth="11.42578125" defaultRowHeight="15" x14ac:dyDescent="0.25"/>
  <cols>
    <col min="2" max="2" width="15.7109375" customWidth="1"/>
    <col min="3" max="3" width="10.28515625" customWidth="1"/>
    <col min="4" max="4" width="10.42578125" customWidth="1"/>
    <col min="5" max="5" width="11.28515625" customWidth="1"/>
    <col min="6" max="6" width="8.42578125" customWidth="1"/>
    <col min="7" max="7" width="7.5703125" customWidth="1"/>
    <col min="8" max="8" width="7.7109375" customWidth="1"/>
    <col min="9" max="9" width="9.28515625" customWidth="1"/>
    <col min="10" max="10" width="8.85546875" customWidth="1"/>
    <col min="11" max="11" width="7.140625" customWidth="1"/>
    <col min="12" max="12" width="17.140625" customWidth="1"/>
  </cols>
  <sheetData>
    <row r="1" spans="2:12" ht="6" customHeight="1" x14ac:dyDescent="0.25"/>
    <row r="2" spans="2:12" ht="6" customHeight="1" x14ac:dyDescent="0.25"/>
    <row r="3" spans="2:12" ht="6.75" customHeight="1" x14ac:dyDescent="0.25"/>
    <row r="4" spans="2:12" ht="37.5" customHeight="1" x14ac:dyDescent="0.25">
      <c r="B4" s="396" t="s">
        <v>321</v>
      </c>
      <c r="C4" s="397"/>
      <c r="D4" s="397"/>
      <c r="E4" s="397"/>
      <c r="F4" s="397"/>
      <c r="G4" s="397"/>
      <c r="H4" s="397"/>
      <c r="I4" s="397"/>
      <c r="J4" s="397"/>
      <c r="K4" s="397"/>
      <c r="L4" s="397"/>
    </row>
    <row r="5" spans="2:12" ht="2.25" customHeight="1" thickBot="1" x14ac:dyDescent="0.3"/>
    <row r="6" spans="2:12" ht="21.6" customHeight="1" thickBot="1" x14ac:dyDescent="0.3">
      <c r="B6" s="390" t="s">
        <v>34</v>
      </c>
      <c r="C6" s="390" t="s">
        <v>296</v>
      </c>
      <c r="D6" s="398" t="s">
        <v>33</v>
      </c>
      <c r="E6" s="398"/>
      <c r="F6" s="417" t="s">
        <v>137</v>
      </c>
      <c r="G6" s="412"/>
      <c r="H6" s="412"/>
      <c r="I6" s="412"/>
      <c r="J6" s="412"/>
      <c r="K6" s="412"/>
      <c r="L6" s="413"/>
    </row>
    <row r="7" spans="2:12" ht="29.25" customHeight="1" thickBot="1" x14ac:dyDescent="0.3">
      <c r="B7" s="391"/>
      <c r="C7" s="391"/>
      <c r="D7" s="19" t="s">
        <v>298</v>
      </c>
      <c r="E7" s="18" t="s">
        <v>297</v>
      </c>
      <c r="F7" s="24" t="s">
        <v>27</v>
      </c>
      <c r="G7" s="24" t="s">
        <v>28</v>
      </c>
      <c r="H7" s="24" t="s">
        <v>29</v>
      </c>
      <c r="I7" s="24" t="s">
        <v>30</v>
      </c>
      <c r="J7" s="24" t="s">
        <v>31</v>
      </c>
      <c r="K7" s="24" t="s">
        <v>25</v>
      </c>
      <c r="L7" s="24" t="s">
        <v>32</v>
      </c>
    </row>
    <row r="8" spans="2:12" ht="3" customHeight="1" x14ac:dyDescent="0.25"/>
    <row r="9" spans="2:12" ht="15.75" customHeight="1" thickBot="1" x14ac:dyDescent="0.3">
      <c r="B9" s="416" t="s">
        <v>295</v>
      </c>
      <c r="C9" s="416"/>
      <c r="D9" s="416"/>
      <c r="E9" s="416"/>
      <c r="F9" s="416"/>
      <c r="G9" s="416"/>
      <c r="H9" s="416"/>
      <c r="I9" s="416"/>
      <c r="J9" s="416"/>
      <c r="K9" s="416"/>
      <c r="L9" s="416"/>
    </row>
    <row r="10" spans="2:12" ht="24.75" thickBot="1" x14ac:dyDescent="0.3">
      <c r="B10" s="4" t="s">
        <v>41</v>
      </c>
      <c r="C10" s="4" t="s">
        <v>64</v>
      </c>
      <c r="D10" s="4" t="s">
        <v>62</v>
      </c>
      <c r="E10" s="4" t="s">
        <v>63</v>
      </c>
      <c r="F10" s="67">
        <f>3.34*1000</f>
        <v>3340</v>
      </c>
      <c r="G10" s="67">
        <f>2.53*1000</f>
        <v>2530</v>
      </c>
      <c r="H10" s="67">
        <f>2.95*1000</f>
        <v>2950</v>
      </c>
      <c r="I10" s="67">
        <f>2.73*1000</f>
        <v>2730</v>
      </c>
      <c r="J10" s="67">
        <f>2.55*1000</f>
        <v>2550</v>
      </c>
      <c r="K10" s="67">
        <v>403</v>
      </c>
      <c r="L10" s="70">
        <v>381</v>
      </c>
    </row>
    <row r="11" spans="2:12" ht="15.75" thickBot="1" x14ac:dyDescent="0.3">
      <c r="B11" s="4" t="s">
        <v>23</v>
      </c>
      <c r="C11" s="14" t="s">
        <v>37</v>
      </c>
      <c r="D11" s="14" t="s">
        <v>65</v>
      </c>
      <c r="E11" s="4" t="s">
        <v>66</v>
      </c>
      <c r="F11" s="68">
        <v>7.55</v>
      </c>
      <c r="G11" s="68">
        <v>7.4340000000000002</v>
      </c>
      <c r="H11" s="68">
        <v>7.6040000000000001</v>
      </c>
      <c r="I11" s="68">
        <v>7.7220000000000004</v>
      </c>
      <c r="J11" s="68">
        <v>7.8129999999999997</v>
      </c>
      <c r="K11" s="68">
        <v>8.1489999999999991</v>
      </c>
      <c r="L11" s="66">
        <v>8.0549999999999997</v>
      </c>
    </row>
    <row r="12" spans="2:12" ht="24.75" thickBot="1" x14ac:dyDescent="0.3">
      <c r="B12" s="4" t="s">
        <v>38</v>
      </c>
      <c r="C12" s="4" t="s">
        <v>24</v>
      </c>
      <c r="D12" s="14" t="s">
        <v>37</v>
      </c>
      <c r="E12" s="14" t="s">
        <v>37</v>
      </c>
      <c r="F12" s="67">
        <f>F10/2</f>
        <v>1670</v>
      </c>
      <c r="G12" s="67">
        <f t="shared" ref="G12:L12" si="0">G10/2</f>
        <v>1265</v>
      </c>
      <c r="H12" s="67">
        <f t="shared" si="0"/>
        <v>1475</v>
      </c>
      <c r="I12" s="67">
        <f t="shared" si="0"/>
        <v>1365</v>
      </c>
      <c r="J12" s="67">
        <f t="shared" si="0"/>
        <v>1275</v>
      </c>
      <c r="K12" s="71">
        <f t="shared" si="0"/>
        <v>201.5</v>
      </c>
      <c r="L12" s="28">
        <f t="shared" si="0"/>
        <v>190.5</v>
      </c>
    </row>
    <row r="13" spans="2:12" ht="15.75" thickBot="1" x14ac:dyDescent="0.3">
      <c r="B13" s="4" t="s">
        <v>39</v>
      </c>
      <c r="C13" s="4" t="s">
        <v>40</v>
      </c>
      <c r="D13" s="14" t="s">
        <v>37</v>
      </c>
      <c r="E13" s="14" t="s">
        <v>37</v>
      </c>
      <c r="F13" s="69">
        <v>24</v>
      </c>
      <c r="G13" s="69">
        <v>23.8</v>
      </c>
      <c r="H13" s="69">
        <v>23.9</v>
      </c>
      <c r="I13" s="69">
        <v>24.1</v>
      </c>
      <c r="J13" s="69">
        <v>24</v>
      </c>
      <c r="K13" s="69">
        <v>23.9</v>
      </c>
      <c r="L13" s="28">
        <v>23.9</v>
      </c>
    </row>
    <row r="14" spans="2:12" ht="15.75" customHeight="1" thickBot="1" x14ac:dyDescent="0.3">
      <c r="B14" s="416" t="s">
        <v>294</v>
      </c>
      <c r="C14" s="416"/>
      <c r="D14" s="416"/>
      <c r="E14" s="416"/>
      <c r="F14" s="416"/>
      <c r="G14" s="416"/>
      <c r="H14" s="416"/>
      <c r="I14" s="416"/>
      <c r="J14" s="416"/>
      <c r="K14" s="416"/>
      <c r="L14" s="416"/>
    </row>
    <row r="15" spans="2:12" ht="1.5" customHeight="1" thickBot="1" x14ac:dyDescent="0.3"/>
    <row r="16" spans="2:12" ht="15.75" thickBot="1" x14ac:dyDescent="0.3">
      <c r="B16" s="4" t="s">
        <v>85</v>
      </c>
      <c r="C16" s="4" t="s">
        <v>53</v>
      </c>
      <c r="D16" s="14" t="s">
        <v>37</v>
      </c>
      <c r="E16" s="14" t="s">
        <v>37</v>
      </c>
      <c r="F16" s="4">
        <v>17.3</v>
      </c>
      <c r="G16" s="4">
        <v>18.399999999999999</v>
      </c>
      <c r="H16" s="4">
        <v>12.2</v>
      </c>
      <c r="I16" s="4">
        <v>17.8</v>
      </c>
      <c r="J16" s="4">
        <v>28.6</v>
      </c>
      <c r="K16" s="4">
        <v>132</v>
      </c>
      <c r="L16" s="4">
        <v>112</v>
      </c>
    </row>
    <row r="17" spans="2:12" ht="15.75" thickBot="1" x14ac:dyDescent="0.3">
      <c r="B17" s="4" t="s">
        <v>46</v>
      </c>
      <c r="C17" s="4" t="s">
        <v>54</v>
      </c>
      <c r="D17" s="4" t="s">
        <v>59</v>
      </c>
      <c r="E17" s="4" t="s">
        <v>59</v>
      </c>
      <c r="F17" s="4">
        <f>34*5</f>
        <v>170</v>
      </c>
      <c r="G17" s="4">
        <f>23*5</f>
        <v>115</v>
      </c>
      <c r="H17" s="4">
        <f>26*5</f>
        <v>130</v>
      </c>
      <c r="I17" s="4">
        <f>22*5</f>
        <v>110</v>
      </c>
      <c r="J17" s="4">
        <f>27*5</f>
        <v>135</v>
      </c>
      <c r="K17" s="4">
        <f>8*50</f>
        <v>400</v>
      </c>
      <c r="L17" s="4">
        <f>10*54</f>
        <v>540</v>
      </c>
    </row>
    <row r="18" spans="2:12" ht="15.75" thickBot="1" x14ac:dyDescent="0.3">
      <c r="B18" s="4" t="s">
        <v>47</v>
      </c>
      <c r="C18" s="4" t="s">
        <v>54</v>
      </c>
      <c r="D18" s="4">
        <v>500</v>
      </c>
      <c r="E18" s="14" t="s">
        <v>37</v>
      </c>
      <c r="F18" s="77">
        <f>82.8*4</f>
        <v>331.2</v>
      </c>
      <c r="G18" s="77">
        <f>19.1*4</f>
        <v>76.400000000000006</v>
      </c>
      <c r="H18" s="77">
        <f>6.7*4</f>
        <v>26.8</v>
      </c>
      <c r="I18" s="77">
        <f>11.6*4</f>
        <v>46.4</v>
      </c>
      <c r="J18" s="77">
        <f>10.8*4</f>
        <v>43.2</v>
      </c>
      <c r="K18" s="77">
        <f>39.4*4</f>
        <v>157.6</v>
      </c>
      <c r="L18" s="77">
        <f>5.6*4</f>
        <v>22.4</v>
      </c>
    </row>
    <row r="19" spans="2:12" ht="15.75" thickBot="1" x14ac:dyDescent="0.3">
      <c r="B19" s="4" t="s">
        <v>48</v>
      </c>
      <c r="C19" s="4" t="s">
        <v>54</v>
      </c>
      <c r="D19" s="4">
        <v>100</v>
      </c>
      <c r="E19" s="4">
        <v>100</v>
      </c>
      <c r="F19" s="5" t="s">
        <v>323</v>
      </c>
      <c r="G19" s="5">
        <v>6.5</v>
      </c>
      <c r="H19" s="78">
        <v>5.6</v>
      </c>
      <c r="I19" s="5">
        <v>3.5</v>
      </c>
      <c r="J19" s="5">
        <v>4.2</v>
      </c>
      <c r="K19" s="5">
        <v>7.8</v>
      </c>
      <c r="L19" s="5">
        <v>10</v>
      </c>
    </row>
    <row r="20" spans="2:12" ht="15.75" thickBot="1" x14ac:dyDescent="0.3">
      <c r="B20" s="4" t="s">
        <v>49</v>
      </c>
      <c r="C20" s="4" t="s">
        <v>54</v>
      </c>
      <c r="D20" s="4" t="s">
        <v>67</v>
      </c>
      <c r="E20" s="4" t="s">
        <v>67</v>
      </c>
      <c r="F20" s="77">
        <v>0.6</v>
      </c>
      <c r="G20" s="77">
        <v>0.5</v>
      </c>
      <c r="H20" s="77">
        <v>0.5</v>
      </c>
      <c r="I20" s="77">
        <v>0.1</v>
      </c>
      <c r="J20" s="77">
        <v>0.1</v>
      </c>
      <c r="K20" s="77">
        <v>0.3</v>
      </c>
      <c r="L20" s="77">
        <v>1.2</v>
      </c>
    </row>
    <row r="21" spans="2:12" ht="15.75" thickBot="1" x14ac:dyDescent="0.3">
      <c r="B21" s="4" t="s">
        <v>50</v>
      </c>
      <c r="C21" s="4" t="s">
        <v>54</v>
      </c>
      <c r="D21" s="4">
        <v>5</v>
      </c>
      <c r="E21" s="14" t="s">
        <v>37</v>
      </c>
      <c r="F21" s="5">
        <v>9.5000000000000001E-2</v>
      </c>
      <c r="G21" s="5">
        <v>0.06</v>
      </c>
      <c r="H21" s="5">
        <v>0.251</v>
      </c>
      <c r="I21" s="5">
        <v>0.04</v>
      </c>
      <c r="J21" s="5">
        <v>3.6999999999999998E-2</v>
      </c>
      <c r="K21" s="5">
        <v>0.38700000000000001</v>
      </c>
      <c r="L21" s="5">
        <v>0.34300000000000003</v>
      </c>
    </row>
    <row r="22" spans="2:12" ht="15.75" thickBot="1" x14ac:dyDescent="0.3">
      <c r="B22" s="4" t="s">
        <v>51</v>
      </c>
      <c r="C22" s="4" t="s">
        <v>54</v>
      </c>
      <c r="D22" s="4" t="s">
        <v>67</v>
      </c>
      <c r="E22" s="4" t="s">
        <v>68</v>
      </c>
      <c r="F22" s="5">
        <v>2.9</v>
      </c>
      <c r="G22" s="5">
        <v>3.16</v>
      </c>
      <c r="H22" s="5">
        <v>3.62</v>
      </c>
      <c r="I22" s="5">
        <v>4.21</v>
      </c>
      <c r="J22" s="5">
        <v>3.51</v>
      </c>
      <c r="K22" s="5">
        <v>0.21</v>
      </c>
      <c r="L22" s="5">
        <v>0.39</v>
      </c>
    </row>
    <row r="23" spans="2:12" ht="24.75" thickBot="1" x14ac:dyDescent="0.3">
      <c r="B23" s="4" t="s">
        <v>52</v>
      </c>
      <c r="C23" s="4" t="s">
        <v>54</v>
      </c>
      <c r="D23" s="4" t="s">
        <v>69</v>
      </c>
      <c r="E23" s="4">
        <v>1</v>
      </c>
      <c r="F23" s="77">
        <v>2.4E-2</v>
      </c>
      <c r="G23" s="77">
        <v>2E-3</v>
      </c>
      <c r="H23" s="77">
        <v>8.0000000000000002E-3</v>
      </c>
      <c r="I23" s="77">
        <v>1E-3</v>
      </c>
      <c r="J23" s="77">
        <v>1.7000000000000001E-2</v>
      </c>
      <c r="K23" s="77">
        <v>8.9999999999999993E-3</v>
      </c>
      <c r="L23" s="77">
        <v>6.6000000000000003E-2</v>
      </c>
    </row>
    <row r="24" spans="2:12" ht="15.75" customHeight="1" thickBot="1" x14ac:dyDescent="0.3">
      <c r="B24" s="4" t="s">
        <v>45</v>
      </c>
      <c r="C24" s="4" t="s">
        <v>54</v>
      </c>
      <c r="D24" s="14" t="s">
        <v>37</v>
      </c>
      <c r="E24" s="14" t="s">
        <v>37</v>
      </c>
      <c r="F24" s="4" t="s">
        <v>300</v>
      </c>
      <c r="G24" s="4" t="s">
        <v>300</v>
      </c>
      <c r="H24" s="4" t="s">
        <v>300</v>
      </c>
      <c r="I24" s="4" t="s">
        <v>300</v>
      </c>
      <c r="J24" s="4" t="s">
        <v>300</v>
      </c>
      <c r="K24" s="4" t="s">
        <v>300</v>
      </c>
      <c r="L24" s="4" t="s">
        <v>300</v>
      </c>
    </row>
    <row r="25" spans="2:12" ht="15.75" customHeight="1" thickBot="1" x14ac:dyDescent="0.3">
      <c r="B25" s="416" t="s">
        <v>293</v>
      </c>
      <c r="C25" s="416"/>
      <c r="D25" s="416"/>
      <c r="E25" s="416"/>
      <c r="F25" s="416"/>
      <c r="G25" s="416"/>
      <c r="H25" s="416"/>
      <c r="I25" s="416"/>
      <c r="J25" s="416"/>
      <c r="K25" s="416"/>
      <c r="L25" s="416"/>
    </row>
    <row r="26" spans="2:12" ht="1.5" customHeight="1" x14ac:dyDescent="0.25"/>
    <row r="27" spans="2:12" ht="1.5" customHeight="1" thickBot="1" x14ac:dyDescent="0.3"/>
    <row r="28" spans="2:12" ht="24.75" thickBot="1" x14ac:dyDescent="0.3">
      <c r="B28" s="4" t="s">
        <v>57</v>
      </c>
      <c r="C28" s="4" t="s">
        <v>58</v>
      </c>
      <c r="D28" s="14" t="s">
        <v>37</v>
      </c>
      <c r="E28" s="14" t="s">
        <v>37</v>
      </c>
      <c r="F28" s="28">
        <v>15</v>
      </c>
      <c r="G28" s="28">
        <v>11</v>
      </c>
      <c r="H28" s="28">
        <v>7.3</v>
      </c>
      <c r="I28" s="28">
        <v>16</v>
      </c>
      <c r="J28" s="28">
        <v>15</v>
      </c>
      <c r="K28" s="28">
        <v>7.2</v>
      </c>
      <c r="L28" s="28">
        <v>7.2</v>
      </c>
    </row>
    <row r="29" spans="2:12" ht="24.75" thickBot="1" x14ac:dyDescent="0.3">
      <c r="B29" s="4" t="s">
        <v>55</v>
      </c>
      <c r="C29" s="4" t="s">
        <v>58</v>
      </c>
      <c r="D29" s="4" t="s">
        <v>59</v>
      </c>
      <c r="E29" s="4" t="s">
        <v>59</v>
      </c>
      <c r="F29" s="28">
        <v>7.3</v>
      </c>
      <c r="G29" s="28">
        <v>7.3</v>
      </c>
      <c r="H29" s="28">
        <v>3</v>
      </c>
      <c r="I29" s="28">
        <v>11</v>
      </c>
      <c r="J29" s="28">
        <v>7.3</v>
      </c>
      <c r="K29" s="28">
        <v>3.6</v>
      </c>
      <c r="L29" s="28">
        <v>3.6</v>
      </c>
    </row>
    <row r="30" spans="2:12" ht="15.75" thickBot="1" x14ac:dyDescent="0.3">
      <c r="B30" s="4" t="s">
        <v>56</v>
      </c>
      <c r="C30" s="4" t="s">
        <v>58</v>
      </c>
      <c r="D30" s="4" t="s">
        <v>59</v>
      </c>
      <c r="E30" s="14" t="s">
        <v>37</v>
      </c>
      <c r="F30" s="28">
        <v>3</v>
      </c>
      <c r="G30" s="28">
        <v>3.6</v>
      </c>
      <c r="H30" s="28">
        <v>3</v>
      </c>
      <c r="I30" s="28">
        <v>6</v>
      </c>
      <c r="J30" s="28">
        <v>3</v>
      </c>
      <c r="K30" s="28">
        <v>3</v>
      </c>
      <c r="L30" s="28">
        <v>3.6</v>
      </c>
    </row>
    <row r="31" spans="2:12" ht="24" customHeight="1" x14ac:dyDescent="0.25">
      <c r="B31" s="419" t="s">
        <v>322</v>
      </c>
      <c r="C31" s="419"/>
      <c r="D31" s="419"/>
      <c r="E31" s="419"/>
      <c r="F31" s="419"/>
    </row>
    <row r="32" spans="2:12" x14ac:dyDescent="0.25">
      <c r="B32" s="26"/>
      <c r="C32" s="26"/>
    </row>
    <row r="33" spans="2:3" x14ac:dyDescent="0.25">
      <c r="B33" s="26"/>
      <c r="C33" s="26"/>
    </row>
  </sheetData>
  <mergeCells count="9">
    <mergeCell ref="B14:L14"/>
    <mergeCell ref="B25:L25"/>
    <mergeCell ref="B31:F31"/>
    <mergeCell ref="B4:L4"/>
    <mergeCell ref="B6:B7"/>
    <mergeCell ref="C6:C7"/>
    <mergeCell ref="D6:E6"/>
    <mergeCell ref="F6:L6"/>
    <mergeCell ref="B9:L9"/>
  </mergeCells>
  <pageMargins left="0.7" right="0.7" top="0.75" bottom="0.75" header="0.3" footer="0.3"/>
  <pageSetup paperSize="9" scale="57" orientation="portrait" r:id="rId1"/>
  <colBreaks count="1" manualBreakCount="1">
    <brk id="13" max="32" man="1"/>
  </colBreaks>
  <oleObjects>
    <mc:AlternateContent xmlns:mc="http://schemas.openxmlformats.org/markup-compatibility/2006">
      <mc:Choice Requires="x14">
        <oleObject progId="Paint.Picture" shapeId="12289" r:id="rId4">
          <objectPr defaultSize="0" autoPict="0" r:id="rId5">
            <anchor moveWithCells="1">
              <from>
                <xdr:col>14</xdr:col>
                <xdr:colOff>447675</xdr:colOff>
                <xdr:row>11</xdr:row>
                <xdr:rowOff>247650</xdr:rowOff>
              </from>
              <to>
                <xdr:col>21</xdr:col>
                <xdr:colOff>390525</xdr:colOff>
                <xdr:row>33</xdr:row>
                <xdr:rowOff>28575</xdr:rowOff>
              </to>
            </anchor>
          </objectPr>
        </oleObject>
      </mc:Choice>
      <mc:Fallback>
        <oleObject progId="Paint.Picture" shapeId="12289" r:id="rId4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L27"/>
  <sheetViews>
    <sheetView showGridLines="0" view="pageBreakPreview" topLeftCell="A13" zoomScaleNormal="145" zoomScaleSheetLayoutView="100" workbookViewId="0">
      <selection activeCell="F18" sqref="F18:L18"/>
    </sheetView>
  </sheetViews>
  <sheetFormatPr baseColWidth="10" defaultColWidth="11.42578125" defaultRowHeight="38.25" customHeight="1" x14ac:dyDescent="0.25"/>
  <cols>
    <col min="2" max="2" width="15.7109375" customWidth="1"/>
    <col min="3" max="3" width="10.28515625" customWidth="1"/>
    <col min="4" max="4" width="10.42578125" customWidth="1"/>
    <col min="5" max="5" width="11.28515625" customWidth="1"/>
    <col min="6" max="6" width="8.42578125" customWidth="1"/>
    <col min="7" max="7" width="7.5703125" customWidth="1"/>
    <col min="8" max="8" width="7.7109375" customWidth="1"/>
    <col min="9" max="9" width="9.28515625" customWidth="1"/>
    <col min="10" max="10" width="8.85546875" customWidth="1"/>
    <col min="11" max="11" width="7.140625" customWidth="1"/>
    <col min="12" max="12" width="17.140625" customWidth="1"/>
  </cols>
  <sheetData>
    <row r="4" spans="2:12" ht="38.25" customHeight="1" x14ac:dyDescent="0.25">
      <c r="B4" s="396" t="s">
        <v>324</v>
      </c>
      <c r="C4" s="397"/>
      <c r="D4" s="397"/>
      <c r="E4" s="397"/>
      <c r="F4" s="397"/>
      <c r="G4" s="397"/>
      <c r="H4" s="397"/>
      <c r="I4" s="397"/>
      <c r="J4" s="397"/>
      <c r="K4" s="397"/>
      <c r="L4" s="397"/>
    </row>
    <row r="5" spans="2:12" ht="38.25" customHeight="1" thickBot="1" x14ac:dyDescent="0.3"/>
    <row r="6" spans="2:12" ht="38.25" customHeight="1" thickBot="1" x14ac:dyDescent="0.3">
      <c r="B6" s="390" t="s">
        <v>34</v>
      </c>
      <c r="C6" s="390" t="s">
        <v>296</v>
      </c>
      <c r="D6" s="398" t="s">
        <v>33</v>
      </c>
      <c r="E6" s="398"/>
      <c r="F6" s="417" t="s">
        <v>137</v>
      </c>
      <c r="G6" s="412"/>
      <c r="H6" s="412"/>
      <c r="I6" s="412"/>
      <c r="J6" s="412"/>
      <c r="K6" s="412"/>
      <c r="L6" s="413"/>
    </row>
    <row r="7" spans="2:12" ht="38.25" customHeight="1" thickBot="1" x14ac:dyDescent="0.3">
      <c r="B7" s="391"/>
      <c r="C7" s="391"/>
      <c r="D7" s="19" t="s">
        <v>298</v>
      </c>
      <c r="E7" s="18" t="s">
        <v>297</v>
      </c>
      <c r="F7" s="24" t="s">
        <v>27</v>
      </c>
      <c r="G7" s="24" t="s">
        <v>28</v>
      </c>
      <c r="H7" s="24" t="s">
        <v>29</v>
      </c>
      <c r="I7" s="24" t="s">
        <v>30</v>
      </c>
      <c r="J7" s="24" t="s">
        <v>31</v>
      </c>
      <c r="K7" s="24" t="s">
        <v>25</v>
      </c>
      <c r="L7" s="24" t="s">
        <v>32</v>
      </c>
    </row>
    <row r="9" spans="2:12" ht="38.25" customHeight="1" thickBot="1" x14ac:dyDescent="0.3">
      <c r="B9" s="416" t="s">
        <v>295</v>
      </c>
      <c r="C9" s="416"/>
      <c r="D9" s="416"/>
      <c r="E9" s="416"/>
      <c r="F9" s="416"/>
      <c r="G9" s="416"/>
      <c r="H9" s="416"/>
      <c r="I9" s="416"/>
      <c r="J9" s="416"/>
      <c r="K9" s="416"/>
      <c r="L9" s="416"/>
    </row>
    <row r="10" spans="2:12" ht="38.25" customHeight="1" thickBot="1" x14ac:dyDescent="0.3">
      <c r="B10" s="4" t="s">
        <v>41</v>
      </c>
      <c r="C10" s="4" t="s">
        <v>64</v>
      </c>
      <c r="D10" s="4" t="s">
        <v>62</v>
      </c>
      <c r="E10" s="4" t="s">
        <v>63</v>
      </c>
      <c r="F10" s="67">
        <v>3210</v>
      </c>
      <c r="G10" s="67">
        <v>2129</v>
      </c>
      <c r="H10" s="67">
        <v>2840</v>
      </c>
      <c r="I10" s="67">
        <v>2620</v>
      </c>
      <c r="J10" s="67">
        <v>2280</v>
      </c>
      <c r="K10" s="67">
        <v>479</v>
      </c>
      <c r="L10" s="70">
        <v>483</v>
      </c>
    </row>
    <row r="11" spans="2:12" ht="38.25" customHeight="1" thickBot="1" x14ac:dyDescent="0.3">
      <c r="B11" s="4" t="s">
        <v>23</v>
      </c>
      <c r="C11" s="14" t="s">
        <v>37</v>
      </c>
      <c r="D11" s="14" t="s">
        <v>65</v>
      </c>
      <c r="E11" s="4" t="s">
        <v>66</v>
      </c>
      <c r="F11" s="68">
        <v>6.61</v>
      </c>
      <c r="G11" s="68">
        <v>6.68</v>
      </c>
      <c r="H11" s="68">
        <v>6.12</v>
      </c>
      <c r="I11" s="68">
        <v>6.91</v>
      </c>
      <c r="J11" s="68">
        <v>7.03</v>
      </c>
      <c r="K11" s="68">
        <v>7.4</v>
      </c>
      <c r="L11" s="66">
        <v>7.41</v>
      </c>
    </row>
    <row r="12" spans="2:12" ht="38.25" customHeight="1" thickBot="1" x14ac:dyDescent="0.3">
      <c r="B12" s="4" t="s">
        <v>38</v>
      </c>
      <c r="C12" s="4" t="s">
        <v>24</v>
      </c>
      <c r="D12" s="14" t="s">
        <v>37</v>
      </c>
      <c r="E12" s="14" t="s">
        <v>37</v>
      </c>
      <c r="F12" s="67">
        <v>1705</v>
      </c>
      <c r="G12" s="67">
        <v>1104</v>
      </c>
      <c r="H12" s="67">
        <v>1419</v>
      </c>
      <c r="I12" s="67">
        <v>1362</v>
      </c>
      <c r="J12" s="67">
        <v>1184</v>
      </c>
      <c r="K12" s="71">
        <v>240</v>
      </c>
      <c r="L12" s="28">
        <v>243</v>
      </c>
    </row>
    <row r="13" spans="2:12" ht="38.25" customHeight="1" thickBot="1" x14ac:dyDescent="0.3">
      <c r="B13" s="4" t="s">
        <v>39</v>
      </c>
      <c r="C13" s="4" t="s">
        <v>40</v>
      </c>
      <c r="D13" s="14" t="s">
        <v>37</v>
      </c>
      <c r="E13" s="14" t="s">
        <v>37</v>
      </c>
      <c r="F13" s="69">
        <v>23.4</v>
      </c>
      <c r="G13" s="69">
        <v>24.2</v>
      </c>
      <c r="H13" s="69">
        <v>24</v>
      </c>
      <c r="I13" s="69">
        <v>24.4</v>
      </c>
      <c r="J13" s="69">
        <v>23</v>
      </c>
      <c r="K13" s="69">
        <v>23.3</v>
      </c>
      <c r="L13" s="28">
        <v>22.7</v>
      </c>
    </row>
    <row r="14" spans="2:12" ht="38.25" customHeight="1" thickBot="1" x14ac:dyDescent="0.3">
      <c r="B14" s="420" t="s">
        <v>294</v>
      </c>
      <c r="C14" s="420"/>
      <c r="D14" s="420"/>
      <c r="E14" s="420"/>
      <c r="F14" s="420"/>
      <c r="G14" s="420"/>
      <c r="H14" s="420"/>
      <c r="I14" s="420"/>
      <c r="J14" s="420"/>
      <c r="K14" s="420"/>
      <c r="L14" s="420"/>
    </row>
    <row r="15" spans="2:12" ht="38.25" customHeight="1" thickBot="1" x14ac:dyDescent="0.3"/>
    <row r="16" spans="2:12" ht="38.25" customHeight="1" thickBot="1" x14ac:dyDescent="0.3">
      <c r="B16" s="4" t="s">
        <v>85</v>
      </c>
      <c r="C16" s="4" t="s">
        <v>53</v>
      </c>
      <c r="D16" s="14" t="s">
        <v>37</v>
      </c>
      <c r="E16" s="14" t="s">
        <v>37</v>
      </c>
      <c r="F16" s="4">
        <v>16.600000000000001</v>
      </c>
      <c r="G16" s="4">
        <v>24.1</v>
      </c>
      <c r="H16" s="4">
        <v>20.5</v>
      </c>
      <c r="I16" s="4">
        <v>32.5</v>
      </c>
      <c r="J16" s="4">
        <v>58.6</v>
      </c>
      <c r="K16" s="4">
        <v>88.5</v>
      </c>
      <c r="L16" s="4">
        <v>91</v>
      </c>
    </row>
    <row r="17" spans="2:12" ht="38.25" customHeight="1" thickBot="1" x14ac:dyDescent="0.3">
      <c r="B17" s="4" t="s">
        <v>46</v>
      </c>
      <c r="C17" s="4" t="s">
        <v>54</v>
      </c>
      <c r="D17" s="4" t="s">
        <v>59</v>
      </c>
      <c r="E17" s="4" t="s">
        <v>59</v>
      </c>
      <c r="F17" s="4">
        <f>39*5</f>
        <v>195</v>
      </c>
      <c r="G17" s="4">
        <f>34*5</f>
        <v>170</v>
      </c>
      <c r="H17" s="4">
        <f>35*5</f>
        <v>175</v>
      </c>
      <c r="I17" s="4">
        <f>33*5</f>
        <v>165</v>
      </c>
      <c r="J17" s="4">
        <f>26*5</f>
        <v>130</v>
      </c>
      <c r="K17" s="4">
        <f>20*5</f>
        <v>100</v>
      </c>
      <c r="L17" s="4">
        <f>25*5</f>
        <v>125</v>
      </c>
    </row>
    <row r="18" spans="2:12" ht="38.25" customHeight="1" thickBot="1" x14ac:dyDescent="0.3">
      <c r="B18" s="4" t="s">
        <v>48</v>
      </c>
      <c r="C18" s="4" t="s">
        <v>54</v>
      </c>
      <c r="D18" s="4">
        <v>100</v>
      </c>
      <c r="E18" s="4">
        <v>100</v>
      </c>
      <c r="F18" s="5">
        <v>4.3</v>
      </c>
      <c r="G18" s="5">
        <v>5.3</v>
      </c>
      <c r="H18" s="78">
        <v>5.5</v>
      </c>
      <c r="I18" s="5">
        <v>5.2</v>
      </c>
      <c r="J18" s="5">
        <v>3.9</v>
      </c>
      <c r="K18" s="5">
        <v>0.8</v>
      </c>
      <c r="L18" s="5">
        <v>1.1000000000000001</v>
      </c>
    </row>
    <row r="19" spans="2:12" ht="38.25" customHeight="1" thickBot="1" x14ac:dyDescent="0.3">
      <c r="B19" s="4" t="s">
        <v>51</v>
      </c>
      <c r="C19" s="4" t="s">
        <v>54</v>
      </c>
      <c r="D19" s="4" t="s">
        <v>67</v>
      </c>
      <c r="E19" s="4" t="s">
        <v>68</v>
      </c>
      <c r="F19" s="5">
        <v>0.06</v>
      </c>
      <c r="G19" s="5">
        <v>0.97</v>
      </c>
      <c r="H19" s="5">
        <v>0.16</v>
      </c>
      <c r="I19" s="5">
        <v>0.28999999999999998</v>
      </c>
      <c r="J19" s="5">
        <v>0.31</v>
      </c>
      <c r="K19" s="5">
        <v>0.03</v>
      </c>
      <c r="L19" s="5">
        <v>0.81</v>
      </c>
    </row>
    <row r="20" spans="2:12" ht="38.25" customHeight="1" thickBot="1" x14ac:dyDescent="0.3">
      <c r="B20" s="416" t="s">
        <v>293</v>
      </c>
      <c r="C20" s="416"/>
      <c r="D20" s="416"/>
      <c r="E20" s="416"/>
      <c r="F20" s="416"/>
      <c r="G20" s="416"/>
      <c r="H20" s="416"/>
      <c r="I20" s="416"/>
      <c r="J20" s="416"/>
      <c r="K20" s="416"/>
      <c r="L20" s="416"/>
    </row>
    <row r="22" spans="2:12" ht="38.25" customHeight="1" thickBot="1" x14ac:dyDescent="0.3"/>
    <row r="23" spans="2:12" ht="38.25" customHeight="1" thickBot="1" x14ac:dyDescent="0.3">
      <c r="B23" s="4" t="s">
        <v>57</v>
      </c>
      <c r="C23" s="4" t="s">
        <v>58</v>
      </c>
      <c r="D23" s="14" t="s">
        <v>37</v>
      </c>
      <c r="E23" s="14" t="s">
        <v>37</v>
      </c>
      <c r="F23" s="81">
        <v>19</v>
      </c>
      <c r="G23" s="79">
        <v>16</v>
      </c>
      <c r="H23" s="79">
        <v>9.1999999999999993</v>
      </c>
      <c r="I23" s="79">
        <v>13</v>
      </c>
      <c r="J23" s="79">
        <v>12</v>
      </c>
      <c r="K23" s="79">
        <v>9.1999999999999993</v>
      </c>
      <c r="L23" s="79">
        <v>7.3</v>
      </c>
    </row>
    <row r="24" spans="2:12" ht="38.25" customHeight="1" thickBot="1" x14ac:dyDescent="0.3">
      <c r="B24" s="4" t="s">
        <v>55</v>
      </c>
      <c r="C24" s="4" t="s">
        <v>58</v>
      </c>
      <c r="D24" s="4" t="s">
        <v>59</v>
      </c>
      <c r="E24" s="4" t="s">
        <v>59</v>
      </c>
      <c r="F24" s="79">
        <v>9.3000000000000007</v>
      </c>
      <c r="G24" s="81">
        <v>11</v>
      </c>
      <c r="H24" s="79">
        <v>6.1</v>
      </c>
      <c r="I24" s="79">
        <v>6.1</v>
      </c>
      <c r="J24" s="79">
        <v>9.3000000000000007</v>
      </c>
      <c r="K24" s="79">
        <v>3</v>
      </c>
      <c r="L24" s="79">
        <v>3.6</v>
      </c>
    </row>
    <row r="25" spans="2:12" ht="38.25" customHeight="1" x14ac:dyDescent="0.25">
      <c r="B25" s="419" t="s">
        <v>322</v>
      </c>
      <c r="C25" s="419"/>
      <c r="D25" s="419"/>
      <c r="E25" s="419"/>
      <c r="F25" s="419"/>
    </row>
    <row r="26" spans="2:12" ht="38.25" customHeight="1" x14ac:dyDescent="0.25">
      <c r="B26" s="26"/>
      <c r="C26" s="26"/>
    </row>
    <row r="27" spans="2:12" ht="38.25" customHeight="1" x14ac:dyDescent="0.25">
      <c r="B27" s="26"/>
      <c r="C27" s="26"/>
    </row>
  </sheetData>
  <mergeCells count="9">
    <mergeCell ref="B14:L14"/>
    <mergeCell ref="B20:L20"/>
    <mergeCell ref="B25:F25"/>
    <mergeCell ref="B4:L4"/>
    <mergeCell ref="B6:B7"/>
    <mergeCell ref="C6:C7"/>
    <mergeCell ref="D6:E6"/>
    <mergeCell ref="F6:L6"/>
    <mergeCell ref="B9:L9"/>
  </mergeCells>
  <pageMargins left="0.7" right="0.7" top="0.75" bottom="0.75" header="0.3" footer="0.3"/>
  <pageSetup paperSize="9" scale="57" orientation="portrait" r:id="rId1"/>
  <colBreaks count="1" manualBreakCount="1">
    <brk id="13" max="32" man="1"/>
  </colBreaks>
  <oleObjects>
    <mc:AlternateContent xmlns:mc="http://schemas.openxmlformats.org/markup-compatibility/2006">
      <mc:Choice Requires="x14">
        <oleObject progId="Paint.Picture" shapeId="16385" r:id="rId4">
          <objectPr defaultSize="0" autoPict="0" r:id="rId5">
            <anchor moveWithCells="1">
              <from>
                <xdr:col>13</xdr:col>
                <xdr:colOff>152400</xdr:colOff>
                <xdr:row>2</xdr:row>
                <xdr:rowOff>28575</xdr:rowOff>
              </from>
              <to>
                <xdr:col>20</xdr:col>
                <xdr:colOff>95250</xdr:colOff>
                <xdr:row>10</xdr:row>
                <xdr:rowOff>342900</xdr:rowOff>
              </to>
            </anchor>
          </objectPr>
        </oleObject>
      </mc:Choice>
      <mc:Fallback>
        <oleObject progId="Paint.Picture" shapeId="16385" r:id="rId4"/>
      </mc:Fallback>
    </mc:AlternateContent>
  </oleObjec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B1:Z32"/>
  <sheetViews>
    <sheetView showGridLines="0" view="pageBreakPreview" zoomScale="90" zoomScaleNormal="145" zoomScaleSheetLayoutView="90" workbookViewId="0">
      <selection activeCell="F20" sqref="F20:L21"/>
    </sheetView>
  </sheetViews>
  <sheetFormatPr baseColWidth="10" defaultColWidth="11.42578125" defaultRowHeight="15" x14ac:dyDescent="0.25"/>
  <cols>
    <col min="2" max="2" width="15.7109375" customWidth="1"/>
    <col min="3" max="3" width="10.28515625" customWidth="1"/>
    <col min="4" max="4" width="10.42578125" customWidth="1"/>
    <col min="5" max="5" width="11.28515625" customWidth="1"/>
    <col min="6" max="6" width="8.42578125" customWidth="1"/>
    <col min="7" max="7" width="7.5703125" customWidth="1"/>
    <col min="8" max="8" width="7.7109375" customWidth="1"/>
    <col min="9" max="9" width="9.28515625" customWidth="1"/>
    <col min="10" max="10" width="8.85546875" customWidth="1"/>
    <col min="11" max="11" width="7.140625" customWidth="1"/>
    <col min="12" max="12" width="17.140625" customWidth="1"/>
    <col min="13" max="13" width="12.7109375" customWidth="1"/>
    <col min="14" max="14" width="9.28515625" customWidth="1"/>
    <col min="15" max="15" width="20.85546875" customWidth="1"/>
    <col min="17" max="17" width="12.85546875" customWidth="1"/>
    <col min="18" max="18" width="13.140625" customWidth="1"/>
    <col min="22" max="22" width="14.42578125" customWidth="1"/>
    <col min="26" max="26" width="14" customWidth="1"/>
  </cols>
  <sheetData>
    <row r="1" spans="2:12" ht="6" customHeight="1" x14ac:dyDescent="0.25"/>
    <row r="2" spans="2:12" ht="6" customHeight="1" x14ac:dyDescent="0.25"/>
    <row r="3" spans="2:12" ht="6.75" customHeight="1" x14ac:dyDescent="0.25"/>
    <row r="4" spans="2:12" ht="37.5" customHeight="1" x14ac:dyDescent="0.25">
      <c r="B4" s="396" t="s">
        <v>325</v>
      </c>
      <c r="C4" s="397"/>
      <c r="D4" s="397"/>
      <c r="E4" s="397"/>
      <c r="F4" s="397"/>
      <c r="G4" s="397"/>
      <c r="H4" s="397"/>
      <c r="I4" s="397"/>
      <c r="J4" s="397"/>
      <c r="K4" s="397"/>
      <c r="L4" s="397"/>
    </row>
    <row r="5" spans="2:12" ht="2.25" customHeight="1" thickBot="1" x14ac:dyDescent="0.3"/>
    <row r="6" spans="2:12" ht="21.6" customHeight="1" thickBot="1" x14ac:dyDescent="0.3">
      <c r="B6" s="390" t="s">
        <v>34</v>
      </c>
      <c r="C6" s="390" t="s">
        <v>296</v>
      </c>
      <c r="D6" s="398" t="s">
        <v>33</v>
      </c>
      <c r="E6" s="398"/>
      <c r="F6" s="417" t="s">
        <v>137</v>
      </c>
      <c r="G6" s="412"/>
      <c r="H6" s="412"/>
      <c r="I6" s="412"/>
      <c r="J6" s="412"/>
      <c r="K6" s="412"/>
      <c r="L6" s="413"/>
    </row>
    <row r="7" spans="2:12" ht="46.5" customHeight="1" thickBot="1" x14ac:dyDescent="0.3">
      <c r="B7" s="429"/>
      <c r="C7" s="429"/>
      <c r="D7" s="85" t="s">
        <v>298</v>
      </c>
      <c r="E7" s="86" t="s">
        <v>297</v>
      </c>
      <c r="F7" s="24" t="s">
        <v>27</v>
      </c>
      <c r="G7" s="24" t="s">
        <v>28</v>
      </c>
      <c r="H7" s="24" t="s">
        <v>29</v>
      </c>
      <c r="I7" s="24" t="s">
        <v>30</v>
      </c>
      <c r="J7" s="24" t="s">
        <v>31</v>
      </c>
      <c r="K7" s="24" t="s">
        <v>25</v>
      </c>
      <c r="L7" s="24" t="s">
        <v>32</v>
      </c>
    </row>
    <row r="8" spans="2:12" ht="15.75" customHeight="1" thickBot="1" x14ac:dyDescent="0.3">
      <c r="B8" s="427" t="s">
        <v>295</v>
      </c>
      <c r="C8" s="420"/>
      <c r="D8" s="420"/>
      <c r="E8" s="420"/>
      <c r="F8" s="420"/>
      <c r="G8" s="420"/>
      <c r="H8" s="420"/>
      <c r="I8" s="420"/>
      <c r="J8" s="420"/>
      <c r="K8" s="420"/>
      <c r="L8" s="428"/>
    </row>
    <row r="9" spans="2:12" ht="24.75" thickBot="1" x14ac:dyDescent="0.3">
      <c r="B9" s="87" t="s">
        <v>41</v>
      </c>
      <c r="C9" s="87" t="s">
        <v>64</v>
      </c>
      <c r="D9" s="87" t="s">
        <v>62</v>
      </c>
      <c r="E9" s="87" t="s">
        <v>63</v>
      </c>
      <c r="F9" s="88">
        <v>3050</v>
      </c>
      <c r="G9" s="89">
        <v>2048</v>
      </c>
      <c r="H9" s="88">
        <v>2740</v>
      </c>
      <c r="I9" s="88">
        <v>2520</v>
      </c>
      <c r="J9" s="89">
        <v>2222</v>
      </c>
      <c r="K9" s="89">
        <v>512</v>
      </c>
      <c r="L9" s="90">
        <v>509</v>
      </c>
    </row>
    <row r="10" spans="2:12" ht="15.75" thickBot="1" x14ac:dyDescent="0.3">
      <c r="B10" s="82" t="s">
        <v>23</v>
      </c>
      <c r="C10" s="83" t="s">
        <v>37</v>
      </c>
      <c r="D10" s="83" t="s">
        <v>65</v>
      </c>
      <c r="E10" s="82" t="s">
        <v>66</v>
      </c>
      <c r="F10" s="69">
        <v>7.33</v>
      </c>
      <c r="G10" s="69">
        <v>7.25</v>
      </c>
      <c r="H10" s="69">
        <v>7.34</v>
      </c>
      <c r="I10" s="69">
        <v>7.41</v>
      </c>
      <c r="J10" s="69">
        <v>7.49</v>
      </c>
      <c r="K10" s="69">
        <v>7.74</v>
      </c>
      <c r="L10" s="28">
        <v>7.67</v>
      </c>
    </row>
    <row r="11" spans="2:12" ht="24.75" thickBot="1" x14ac:dyDescent="0.3">
      <c r="B11" s="82" t="s">
        <v>38</v>
      </c>
      <c r="C11" s="82" t="s">
        <v>24</v>
      </c>
      <c r="D11" s="83" t="s">
        <v>37</v>
      </c>
      <c r="E11" s="83" t="s">
        <v>37</v>
      </c>
      <c r="F11" s="67">
        <v>1685</v>
      </c>
      <c r="G11" s="67">
        <v>1113</v>
      </c>
      <c r="H11" s="67">
        <v>1505</v>
      </c>
      <c r="I11" s="67">
        <v>1382</v>
      </c>
      <c r="J11" s="67">
        <v>1212</v>
      </c>
      <c r="K11" s="67">
        <v>266</v>
      </c>
      <c r="L11" s="70">
        <v>264</v>
      </c>
    </row>
    <row r="12" spans="2:12" ht="15.75" thickBot="1" x14ac:dyDescent="0.3">
      <c r="B12" s="82" t="s">
        <v>39</v>
      </c>
      <c r="C12" s="82" t="s">
        <v>40</v>
      </c>
      <c r="D12" s="83" t="s">
        <v>37</v>
      </c>
      <c r="E12" s="83" t="s">
        <v>37</v>
      </c>
      <c r="F12" s="69">
        <v>21.6</v>
      </c>
      <c r="G12" s="69">
        <v>21.6</v>
      </c>
      <c r="H12" s="69">
        <v>21.6</v>
      </c>
      <c r="I12" s="69">
        <v>21.7</v>
      </c>
      <c r="J12" s="69">
        <v>21.7</v>
      </c>
      <c r="K12" s="69">
        <v>21.6</v>
      </c>
      <c r="L12" s="28">
        <v>21.8</v>
      </c>
    </row>
    <row r="13" spans="2:12" ht="15.75" thickBot="1" x14ac:dyDescent="0.3">
      <c r="B13" s="82" t="s">
        <v>327</v>
      </c>
      <c r="C13" s="82" t="s">
        <v>53</v>
      </c>
      <c r="D13" s="83" t="s">
        <v>37</v>
      </c>
      <c r="E13" s="83" t="s">
        <v>37</v>
      </c>
      <c r="F13" s="4">
        <v>11.5</v>
      </c>
      <c r="G13" s="4">
        <v>17.600000000000001</v>
      </c>
      <c r="H13" s="4">
        <v>21.8</v>
      </c>
      <c r="I13" s="4">
        <v>35.6</v>
      </c>
      <c r="J13" s="4">
        <v>57.6</v>
      </c>
      <c r="K13" s="4">
        <v>348</v>
      </c>
      <c r="L13" s="4">
        <v>559</v>
      </c>
    </row>
    <row r="14" spans="2:12" ht="15.75" customHeight="1" thickBot="1" x14ac:dyDescent="0.3">
      <c r="B14" s="420" t="s">
        <v>294</v>
      </c>
      <c r="C14" s="420"/>
      <c r="D14" s="420"/>
      <c r="E14" s="420"/>
      <c r="F14" s="420"/>
      <c r="G14" s="420"/>
      <c r="H14" s="420"/>
      <c r="I14" s="420"/>
      <c r="J14" s="420"/>
      <c r="K14" s="420"/>
      <c r="L14" s="420"/>
    </row>
    <row r="15" spans="2:12" ht="1.5" customHeight="1" thickBot="1" x14ac:dyDescent="0.3"/>
    <row r="16" spans="2:12" ht="15.75" thickBot="1" x14ac:dyDescent="0.3">
      <c r="B16" s="82" t="s">
        <v>46</v>
      </c>
      <c r="C16" s="82" t="s">
        <v>54</v>
      </c>
      <c r="D16" s="82" t="s">
        <v>59</v>
      </c>
      <c r="E16" s="82" t="s">
        <v>59</v>
      </c>
      <c r="F16" s="4">
        <f>44*5</f>
        <v>220</v>
      </c>
      <c r="G16" s="4">
        <f>28*5</f>
        <v>140</v>
      </c>
      <c r="H16" s="4">
        <f>46*5</f>
        <v>230</v>
      </c>
      <c r="I16" s="4">
        <f>46*5</f>
        <v>230</v>
      </c>
      <c r="J16" s="4">
        <f>41*5</f>
        <v>205</v>
      </c>
      <c r="K16" s="4">
        <f>26*5</f>
        <v>130</v>
      </c>
      <c r="L16" s="4">
        <f>24*5</f>
        <v>120</v>
      </c>
    </row>
    <row r="17" spans="2:26" ht="15.75" thickBot="1" x14ac:dyDescent="0.3">
      <c r="B17" s="82" t="s">
        <v>326</v>
      </c>
      <c r="C17" s="82" t="s">
        <v>54</v>
      </c>
      <c r="D17" s="82">
        <v>100</v>
      </c>
      <c r="E17" s="82">
        <v>100</v>
      </c>
      <c r="F17" s="5">
        <v>3.1</v>
      </c>
      <c r="G17" s="5">
        <v>4.0999999999999996</v>
      </c>
      <c r="H17" s="78">
        <v>3.1</v>
      </c>
      <c r="I17" s="5">
        <v>3.2</v>
      </c>
      <c r="J17" s="5">
        <v>3.4</v>
      </c>
      <c r="K17" s="5">
        <v>0.5</v>
      </c>
      <c r="L17" s="78">
        <v>1</v>
      </c>
    </row>
    <row r="18" spans="2:26" ht="15.75" thickBot="1" x14ac:dyDescent="0.3">
      <c r="B18" s="82" t="s">
        <v>51</v>
      </c>
      <c r="C18" s="82" t="s">
        <v>54</v>
      </c>
      <c r="D18" s="82" t="s">
        <v>67</v>
      </c>
      <c r="E18" s="82" t="s">
        <v>68</v>
      </c>
      <c r="F18" s="79">
        <v>0.39</v>
      </c>
      <c r="G18" s="79">
        <v>0.56000000000000005</v>
      </c>
      <c r="H18" s="79">
        <v>0.76</v>
      </c>
      <c r="I18" s="79">
        <v>0.28999999999999998</v>
      </c>
      <c r="J18" s="79">
        <v>0.96</v>
      </c>
      <c r="K18" s="84">
        <v>0.08</v>
      </c>
      <c r="L18" s="84">
        <v>0.04</v>
      </c>
    </row>
    <row r="19" spans="2:26" ht="15.75" customHeight="1" thickBot="1" x14ac:dyDescent="0.3">
      <c r="B19" s="416" t="s">
        <v>293</v>
      </c>
      <c r="C19" s="416"/>
      <c r="D19" s="416"/>
      <c r="E19" s="416"/>
      <c r="F19" s="416"/>
      <c r="G19" s="416"/>
      <c r="H19" s="416"/>
      <c r="I19" s="416"/>
      <c r="J19" s="416"/>
      <c r="K19" s="416"/>
      <c r="L19" s="416"/>
    </row>
    <row r="20" spans="2:26" ht="24.75" thickBot="1" x14ac:dyDescent="0.3">
      <c r="B20" s="82" t="s">
        <v>57</v>
      </c>
      <c r="C20" s="82" t="s">
        <v>58</v>
      </c>
      <c r="D20" s="14" t="s">
        <v>37</v>
      </c>
      <c r="E20" s="14" t="s">
        <v>37</v>
      </c>
      <c r="F20" s="81">
        <v>23</v>
      </c>
      <c r="G20" s="81">
        <v>15</v>
      </c>
      <c r="H20" s="81">
        <v>11</v>
      </c>
      <c r="I20" s="81">
        <v>15</v>
      </c>
      <c r="J20" s="81">
        <v>11</v>
      </c>
      <c r="K20" s="81">
        <v>9</v>
      </c>
      <c r="L20" s="81">
        <v>6</v>
      </c>
    </row>
    <row r="21" spans="2:26" ht="26.25" customHeight="1" thickBot="1" x14ac:dyDescent="0.3">
      <c r="B21" s="82" t="s">
        <v>55</v>
      </c>
      <c r="C21" s="82" t="s">
        <v>58</v>
      </c>
      <c r="D21" s="4" t="s">
        <v>59</v>
      </c>
      <c r="E21" s="4" t="s">
        <v>59</v>
      </c>
      <c r="F21" s="79">
        <v>9.1</v>
      </c>
      <c r="G21" s="79">
        <v>7.2</v>
      </c>
      <c r="H21" s="79">
        <v>7.2</v>
      </c>
      <c r="I21" s="79">
        <v>11</v>
      </c>
      <c r="J21" s="79">
        <v>3.6</v>
      </c>
      <c r="K21" s="79">
        <v>3</v>
      </c>
      <c r="L21" s="79">
        <v>3</v>
      </c>
    </row>
    <row r="22" spans="2:26" ht="24" customHeight="1" thickBot="1" x14ac:dyDescent="0.3">
      <c r="B22" s="419" t="s">
        <v>322</v>
      </c>
      <c r="C22" s="419"/>
      <c r="D22" s="419"/>
      <c r="E22" s="419"/>
      <c r="F22" s="419"/>
    </row>
    <row r="23" spans="2:26" ht="8.25" customHeight="1" thickBot="1" x14ac:dyDescent="0.3">
      <c r="B23" s="80"/>
      <c r="C23" s="80"/>
      <c r="D23" s="80"/>
      <c r="E23" s="80"/>
      <c r="F23" s="80"/>
    </row>
    <row r="24" spans="2:26" ht="23.25" customHeight="1" thickBot="1" x14ac:dyDescent="0.3">
      <c r="B24" s="4" t="s">
        <v>89</v>
      </c>
      <c r="C24" s="4" t="s">
        <v>54</v>
      </c>
      <c r="D24" s="14"/>
      <c r="E24" s="14"/>
      <c r="F24" s="82">
        <v>1000</v>
      </c>
      <c r="G24" s="82">
        <v>1000</v>
      </c>
      <c r="H24" s="82">
        <v>1000</v>
      </c>
      <c r="I24" s="82">
        <v>1000</v>
      </c>
      <c r="J24" s="82">
        <v>1000</v>
      </c>
      <c r="K24" s="82">
        <v>1000</v>
      </c>
      <c r="L24" s="82">
        <v>1000</v>
      </c>
    </row>
    <row r="25" spans="2:26" ht="20.25" customHeight="1" thickBot="1" x14ac:dyDescent="0.3">
      <c r="B25" s="4" t="s">
        <v>89</v>
      </c>
      <c r="C25" s="4" t="s">
        <v>54</v>
      </c>
      <c r="D25" s="14"/>
      <c r="E25" s="14"/>
      <c r="F25" s="82">
        <v>100</v>
      </c>
      <c r="G25" s="82">
        <v>100</v>
      </c>
      <c r="H25" s="82">
        <v>100</v>
      </c>
      <c r="I25" s="82">
        <v>100</v>
      </c>
      <c r="J25" s="82">
        <v>100</v>
      </c>
      <c r="K25" s="82">
        <v>100</v>
      </c>
      <c r="L25" s="82">
        <v>100</v>
      </c>
    </row>
    <row r="26" spans="2:26" ht="24.75" thickBot="1" x14ac:dyDescent="0.3">
      <c r="B26" s="4" t="s">
        <v>125</v>
      </c>
      <c r="C26" s="4" t="s">
        <v>54</v>
      </c>
      <c r="D26" s="14"/>
      <c r="E26" s="14"/>
      <c r="F26" s="82">
        <v>0.2</v>
      </c>
      <c r="G26" s="82">
        <v>0.2</v>
      </c>
      <c r="H26" s="82">
        <v>0.2</v>
      </c>
      <c r="I26" s="82">
        <v>0.2</v>
      </c>
      <c r="J26" s="82">
        <v>0.2</v>
      </c>
      <c r="K26" s="82">
        <v>0.2</v>
      </c>
      <c r="L26" s="82">
        <v>0.2</v>
      </c>
    </row>
    <row r="27" spans="2:26" ht="24.75" thickBot="1" x14ac:dyDescent="0.3">
      <c r="B27" s="4" t="s">
        <v>126</v>
      </c>
      <c r="C27" s="4" t="s">
        <v>54</v>
      </c>
      <c r="D27" s="14"/>
      <c r="E27" s="14"/>
      <c r="F27" s="82">
        <v>0.5</v>
      </c>
      <c r="G27" s="82">
        <v>0.5</v>
      </c>
      <c r="H27" s="82">
        <v>0.5</v>
      </c>
      <c r="I27" s="82">
        <v>0.5</v>
      </c>
      <c r="J27" s="82">
        <v>0.5</v>
      </c>
      <c r="K27" s="82">
        <v>0.5</v>
      </c>
      <c r="L27" s="82">
        <v>0.5</v>
      </c>
    </row>
    <row r="28" spans="2:26" ht="15.75" thickBot="1" x14ac:dyDescent="0.3"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</row>
    <row r="29" spans="2:26" ht="15.75" thickBot="1" x14ac:dyDescent="0.3">
      <c r="N29" s="92"/>
      <c r="O29" s="92"/>
      <c r="P29" s="93"/>
      <c r="Q29" s="421" t="s">
        <v>136</v>
      </c>
      <c r="R29" s="422"/>
      <c r="S29" s="423"/>
      <c r="T29" s="424" t="s">
        <v>137</v>
      </c>
      <c r="U29" s="425"/>
      <c r="V29" s="425"/>
      <c r="W29" s="425"/>
      <c r="X29" s="425"/>
      <c r="Y29" s="425"/>
      <c r="Z29" s="426"/>
    </row>
    <row r="30" spans="2:26" ht="39" thickBot="1" x14ac:dyDescent="0.3">
      <c r="N30" s="92"/>
      <c r="O30" s="92"/>
      <c r="P30" s="94" t="s">
        <v>35</v>
      </c>
      <c r="Q30" s="95" t="s">
        <v>133</v>
      </c>
      <c r="R30" s="95" t="s">
        <v>134</v>
      </c>
      <c r="S30" s="95" t="s">
        <v>135</v>
      </c>
      <c r="T30" s="96" t="s">
        <v>27</v>
      </c>
      <c r="U30" s="96" t="s">
        <v>28</v>
      </c>
      <c r="V30" s="96" t="s">
        <v>29</v>
      </c>
      <c r="W30" s="96" t="s">
        <v>30</v>
      </c>
      <c r="X30" s="96" t="s">
        <v>31</v>
      </c>
      <c r="Y30" s="96" t="s">
        <v>25</v>
      </c>
      <c r="Z30" s="96" t="s">
        <v>32</v>
      </c>
    </row>
    <row r="31" spans="2:26" ht="24.75" customHeight="1" thickBot="1" x14ac:dyDescent="0.3">
      <c r="O31" s="100" t="s">
        <v>132</v>
      </c>
      <c r="P31" s="97" t="s">
        <v>58</v>
      </c>
      <c r="Q31" s="98" t="s">
        <v>37</v>
      </c>
      <c r="R31" s="98" t="s">
        <v>37</v>
      </c>
      <c r="S31" s="98" t="s">
        <v>37</v>
      </c>
      <c r="T31" s="98">
        <v>11</v>
      </c>
      <c r="U31" s="98">
        <v>7.2</v>
      </c>
      <c r="V31" s="98">
        <v>15</v>
      </c>
      <c r="W31" s="98">
        <v>7.3</v>
      </c>
      <c r="X31" s="98">
        <v>9.3000000000000007</v>
      </c>
      <c r="Y31" s="98">
        <v>3.6</v>
      </c>
      <c r="Z31" s="98">
        <v>9.1999999999999993</v>
      </c>
    </row>
    <row r="32" spans="2:26" ht="24.75" customHeight="1" thickBot="1" x14ac:dyDescent="0.3">
      <c r="O32" s="100" t="s">
        <v>93</v>
      </c>
      <c r="P32" s="97" t="s">
        <v>58</v>
      </c>
      <c r="Q32" s="99">
        <v>1000</v>
      </c>
      <c r="R32" s="99">
        <v>2000</v>
      </c>
      <c r="S32" s="99">
        <v>1000</v>
      </c>
      <c r="T32" s="98">
        <v>3.6</v>
      </c>
      <c r="U32" s="98">
        <v>7.2</v>
      </c>
      <c r="V32" s="98">
        <v>3</v>
      </c>
      <c r="W32" s="98">
        <v>3.6</v>
      </c>
      <c r="X32" s="98">
        <v>6.1</v>
      </c>
      <c r="Y32" s="98">
        <v>3.6</v>
      </c>
      <c r="Z32" s="98">
        <v>6.1</v>
      </c>
    </row>
  </sheetData>
  <mergeCells count="11">
    <mergeCell ref="B8:L8"/>
    <mergeCell ref="B4:L4"/>
    <mergeCell ref="B6:B7"/>
    <mergeCell ref="C6:C7"/>
    <mergeCell ref="D6:E6"/>
    <mergeCell ref="F6:L6"/>
    <mergeCell ref="Q29:S29"/>
    <mergeCell ref="T29:Z29"/>
    <mergeCell ref="B14:L14"/>
    <mergeCell ref="B19:L19"/>
    <mergeCell ref="B22:F22"/>
  </mergeCells>
  <pageMargins left="0.7" right="0.7" top="0.75" bottom="0.75" header="0.3" footer="0.3"/>
  <pageSetup paperSize="9" scale="45" orientation="portrait" r:id="rId1"/>
  <colBreaks count="1" manualBreakCount="1">
    <brk id="13" max="35" man="1"/>
  </colBreaks>
  <oleObjects>
    <mc:AlternateContent xmlns:mc="http://schemas.openxmlformats.org/markup-compatibility/2006">
      <mc:Choice Requires="x14">
        <oleObject progId="Paint.Picture" shapeId="20481" r:id="rId4">
          <objectPr defaultSize="0" autoPict="0" r:id="rId5">
            <anchor moveWithCells="1">
              <from>
                <xdr:col>1</xdr:col>
                <xdr:colOff>76200</xdr:colOff>
                <xdr:row>35</xdr:row>
                <xdr:rowOff>38100</xdr:rowOff>
              </from>
              <to>
                <xdr:col>7</xdr:col>
                <xdr:colOff>352425</xdr:colOff>
                <xdr:row>54</xdr:row>
                <xdr:rowOff>104775</xdr:rowOff>
              </to>
            </anchor>
          </objectPr>
        </oleObject>
      </mc:Choice>
      <mc:Fallback>
        <oleObject progId="Paint.Picture" shapeId="20481" r:id="rId4"/>
      </mc:Fallback>
    </mc:AlternateContent>
  </oleObjec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6699"/>
  </sheetPr>
  <dimension ref="B1:Z32"/>
  <sheetViews>
    <sheetView showGridLines="0" view="pageBreakPreview" topLeftCell="A4" zoomScale="130" zoomScaleNormal="145" zoomScaleSheetLayoutView="130" workbookViewId="0">
      <selection activeCell="C9" sqref="C9"/>
    </sheetView>
  </sheetViews>
  <sheetFormatPr baseColWidth="10" defaultColWidth="11.42578125" defaultRowHeight="15" x14ac:dyDescent="0.25"/>
  <cols>
    <col min="1" max="1" width="2.140625" customWidth="1"/>
    <col min="2" max="2" width="15.7109375" customWidth="1"/>
    <col min="3" max="3" width="10.28515625" customWidth="1"/>
    <col min="4" max="4" width="10.42578125" customWidth="1"/>
    <col min="5" max="5" width="11.28515625" customWidth="1"/>
    <col min="6" max="6" width="8.42578125" customWidth="1"/>
    <col min="7" max="7" width="7.5703125" customWidth="1"/>
    <col min="8" max="8" width="7.7109375" customWidth="1"/>
    <col min="9" max="9" width="9.28515625" customWidth="1"/>
    <col min="10" max="10" width="8.85546875" customWidth="1"/>
    <col min="11" max="11" width="7.140625" customWidth="1"/>
    <col min="12" max="12" width="17.140625" customWidth="1"/>
    <col min="13" max="13" width="3.42578125" customWidth="1"/>
    <col min="14" max="14" width="9.28515625" customWidth="1"/>
    <col min="15" max="15" width="20.85546875" customWidth="1"/>
    <col min="17" max="17" width="12.85546875" customWidth="1"/>
    <col min="18" max="18" width="13.140625" customWidth="1"/>
    <col min="22" max="22" width="14.42578125" customWidth="1"/>
    <col min="26" max="26" width="14" customWidth="1"/>
  </cols>
  <sheetData>
    <row r="1" spans="2:12" ht="6" customHeight="1" x14ac:dyDescent="0.25"/>
    <row r="2" spans="2:12" ht="6" customHeight="1" x14ac:dyDescent="0.25"/>
    <row r="3" spans="2:12" ht="6.75" customHeight="1" x14ac:dyDescent="0.25"/>
    <row r="4" spans="2:12" ht="37.5" customHeight="1" x14ac:dyDescent="0.25">
      <c r="B4" s="434" t="s">
        <v>328</v>
      </c>
      <c r="C4" s="435"/>
      <c r="D4" s="435"/>
      <c r="E4" s="435"/>
      <c r="F4" s="435"/>
      <c r="G4" s="435"/>
      <c r="H4" s="435"/>
      <c r="I4" s="435"/>
      <c r="J4" s="435"/>
      <c r="K4" s="435"/>
      <c r="L4" s="435"/>
    </row>
    <row r="5" spans="2:12" ht="2.25" customHeight="1" thickBot="1" x14ac:dyDescent="0.3"/>
    <row r="6" spans="2:12" ht="21.6" customHeight="1" thickBot="1" x14ac:dyDescent="0.3">
      <c r="B6" s="436" t="s">
        <v>34</v>
      </c>
      <c r="C6" s="436" t="s">
        <v>296</v>
      </c>
      <c r="D6" s="438" t="s">
        <v>33</v>
      </c>
      <c r="E6" s="438"/>
      <c r="F6" s="439" t="s">
        <v>137</v>
      </c>
      <c r="G6" s="440"/>
      <c r="H6" s="440"/>
      <c r="I6" s="440"/>
      <c r="J6" s="440"/>
      <c r="K6" s="440"/>
      <c r="L6" s="441"/>
    </row>
    <row r="7" spans="2:12" ht="46.5" customHeight="1" thickBot="1" x14ac:dyDescent="0.3">
      <c r="B7" s="437"/>
      <c r="C7" s="437"/>
      <c r="D7" s="101" t="s">
        <v>298</v>
      </c>
      <c r="E7" s="102" t="s">
        <v>297</v>
      </c>
      <c r="F7" s="103" t="s">
        <v>27</v>
      </c>
      <c r="G7" s="103" t="s">
        <v>28</v>
      </c>
      <c r="H7" s="103" t="s">
        <v>29</v>
      </c>
      <c r="I7" s="103" t="s">
        <v>30</v>
      </c>
      <c r="J7" s="103" t="s">
        <v>31</v>
      </c>
      <c r="K7" s="103" t="s">
        <v>25</v>
      </c>
      <c r="L7" s="103" t="s">
        <v>32</v>
      </c>
    </row>
    <row r="8" spans="2:12" ht="15.75" customHeight="1" thickBot="1" x14ac:dyDescent="0.3">
      <c r="B8" s="432" t="s">
        <v>295</v>
      </c>
      <c r="C8" s="430"/>
      <c r="D8" s="430"/>
      <c r="E8" s="430"/>
      <c r="F8" s="430"/>
      <c r="G8" s="430"/>
      <c r="H8" s="430"/>
      <c r="I8" s="430"/>
      <c r="J8" s="430"/>
      <c r="K8" s="430"/>
      <c r="L8" s="433"/>
    </row>
    <row r="9" spans="2:12" ht="24.75" thickBot="1" x14ac:dyDescent="0.3">
      <c r="B9" s="104" t="s">
        <v>41</v>
      </c>
      <c r="C9" s="104" t="s">
        <v>64</v>
      </c>
      <c r="D9" s="104" t="s">
        <v>62</v>
      </c>
      <c r="E9" s="104" t="s">
        <v>63</v>
      </c>
      <c r="F9" s="105">
        <v>3300</v>
      </c>
      <c r="G9" s="106">
        <v>2210</v>
      </c>
      <c r="H9" s="105">
        <v>2960</v>
      </c>
      <c r="I9" s="105">
        <v>2800</v>
      </c>
      <c r="J9" s="105">
        <v>2520</v>
      </c>
      <c r="K9" s="106">
        <v>520</v>
      </c>
      <c r="L9" s="107">
        <v>530</v>
      </c>
    </row>
    <row r="10" spans="2:12" ht="15.75" thickBot="1" x14ac:dyDescent="0.3">
      <c r="B10" s="108" t="s">
        <v>23</v>
      </c>
      <c r="C10" s="109" t="s">
        <v>37</v>
      </c>
      <c r="D10" s="109" t="s">
        <v>65</v>
      </c>
      <c r="E10" s="108" t="s">
        <v>66</v>
      </c>
      <c r="F10" s="110">
        <v>7.29</v>
      </c>
      <c r="G10" s="110">
        <v>6.61</v>
      </c>
      <c r="H10" s="110">
        <v>7.03</v>
      </c>
      <c r="I10" s="110">
        <v>7.52</v>
      </c>
      <c r="J10" s="110">
        <v>7.75</v>
      </c>
      <c r="K10" s="110">
        <v>8.2100000000000009</v>
      </c>
      <c r="L10" s="111">
        <v>8</v>
      </c>
    </row>
    <row r="11" spans="2:12" ht="24.75" thickBot="1" x14ac:dyDescent="0.3">
      <c r="B11" s="108" t="s">
        <v>38</v>
      </c>
      <c r="C11" s="108" t="s">
        <v>24</v>
      </c>
      <c r="D11" s="109" t="s">
        <v>37</v>
      </c>
      <c r="E11" s="109" t="s">
        <v>37</v>
      </c>
      <c r="F11" s="112">
        <v>1697</v>
      </c>
      <c r="G11" s="112">
        <v>1119</v>
      </c>
      <c r="H11" s="112">
        <v>1515</v>
      </c>
      <c r="I11" s="112">
        <v>1430</v>
      </c>
      <c r="J11" s="112">
        <v>1284</v>
      </c>
      <c r="K11" s="112">
        <v>254</v>
      </c>
      <c r="L11" s="113">
        <v>256</v>
      </c>
    </row>
    <row r="12" spans="2:12" ht="15.75" thickBot="1" x14ac:dyDescent="0.3">
      <c r="B12" s="108" t="s">
        <v>39</v>
      </c>
      <c r="C12" s="108" t="s">
        <v>40</v>
      </c>
      <c r="D12" s="109" t="s">
        <v>37</v>
      </c>
      <c r="E12" s="109" t="s">
        <v>37</v>
      </c>
      <c r="F12" s="110">
        <v>25</v>
      </c>
      <c r="G12" s="110">
        <v>24.9</v>
      </c>
      <c r="H12" s="110">
        <v>25.2</v>
      </c>
      <c r="I12" s="110">
        <v>24.2</v>
      </c>
      <c r="J12" s="110">
        <v>23.2</v>
      </c>
      <c r="K12" s="110">
        <v>21.5</v>
      </c>
      <c r="L12" s="111">
        <v>20.5</v>
      </c>
    </row>
    <row r="13" spans="2:12" ht="15.75" thickBot="1" x14ac:dyDescent="0.3">
      <c r="B13" s="108" t="s">
        <v>327</v>
      </c>
      <c r="C13" s="108" t="s">
        <v>53</v>
      </c>
      <c r="D13" s="109" t="s">
        <v>37</v>
      </c>
      <c r="E13" s="109" t="s">
        <v>37</v>
      </c>
      <c r="F13" s="114">
        <v>17.100000000000001</v>
      </c>
      <c r="G13" s="114">
        <v>12.4</v>
      </c>
      <c r="H13" s="114">
        <v>14</v>
      </c>
      <c r="I13" s="114">
        <v>26.8</v>
      </c>
      <c r="J13" s="114">
        <v>37</v>
      </c>
      <c r="K13" s="114">
        <v>121</v>
      </c>
      <c r="L13" s="114">
        <v>153</v>
      </c>
    </row>
    <row r="14" spans="2:12" ht="15.75" customHeight="1" thickBot="1" x14ac:dyDescent="0.3">
      <c r="B14" s="430" t="s">
        <v>294</v>
      </c>
      <c r="C14" s="430"/>
      <c r="D14" s="430"/>
      <c r="E14" s="430"/>
      <c r="F14" s="430"/>
      <c r="G14" s="430"/>
      <c r="H14" s="430"/>
      <c r="I14" s="430"/>
      <c r="J14" s="430"/>
      <c r="K14" s="430"/>
      <c r="L14" s="430"/>
    </row>
    <row r="15" spans="2:12" ht="1.5" customHeight="1" thickBot="1" x14ac:dyDescent="0.3"/>
    <row r="16" spans="2:12" ht="15.75" thickBot="1" x14ac:dyDescent="0.3">
      <c r="B16" s="108" t="s">
        <v>46</v>
      </c>
      <c r="C16" s="108" t="s">
        <v>54</v>
      </c>
      <c r="D16" s="108" t="s">
        <v>59</v>
      </c>
      <c r="E16" s="108" t="s">
        <v>59</v>
      </c>
      <c r="F16" s="114">
        <f>37*5</f>
        <v>185</v>
      </c>
      <c r="G16" s="114">
        <f>28*5</f>
        <v>140</v>
      </c>
      <c r="H16" s="114">
        <f>33*5</f>
        <v>165</v>
      </c>
      <c r="I16" s="114">
        <f>36*5</f>
        <v>180</v>
      </c>
      <c r="J16" s="114">
        <f>36*5</f>
        <v>180</v>
      </c>
      <c r="K16" s="114">
        <f>22*5</f>
        <v>110</v>
      </c>
      <c r="L16" s="114">
        <f>17*5</f>
        <v>85</v>
      </c>
    </row>
    <row r="17" spans="2:26" ht="15.75" thickBot="1" x14ac:dyDescent="0.3">
      <c r="B17" s="108" t="s">
        <v>326</v>
      </c>
      <c r="C17" s="108" t="s">
        <v>54</v>
      </c>
      <c r="D17" s="108">
        <v>100</v>
      </c>
      <c r="E17" s="108">
        <v>100</v>
      </c>
      <c r="F17" s="115">
        <v>5.4</v>
      </c>
      <c r="G17" s="115">
        <v>4.7</v>
      </c>
      <c r="H17" s="116">
        <v>5.0999999999999996</v>
      </c>
      <c r="I17" s="116">
        <v>5</v>
      </c>
      <c r="J17" s="115">
        <v>4.9000000000000004</v>
      </c>
      <c r="K17" s="115">
        <v>1.1000000000000001</v>
      </c>
      <c r="L17" s="116">
        <v>1.2</v>
      </c>
    </row>
    <row r="18" spans="2:26" ht="15.75" thickBot="1" x14ac:dyDescent="0.3">
      <c r="B18" s="108" t="s">
        <v>51</v>
      </c>
      <c r="C18" s="108" t="s">
        <v>54</v>
      </c>
      <c r="D18" s="108" t="s">
        <v>67</v>
      </c>
      <c r="E18" s="108" t="s">
        <v>68</v>
      </c>
      <c r="F18" s="117">
        <v>0.26300000000000001</v>
      </c>
      <c r="G18" s="117">
        <v>0.36399999999999999</v>
      </c>
      <c r="H18" s="117">
        <v>0.33</v>
      </c>
      <c r="I18" s="117">
        <v>0.28999999999999998</v>
      </c>
      <c r="J18" s="117">
        <v>0.29699999999999999</v>
      </c>
      <c r="K18" s="116">
        <v>0.21</v>
      </c>
      <c r="L18" s="116">
        <v>0.24</v>
      </c>
    </row>
    <row r="19" spans="2:26" ht="15.75" customHeight="1" thickBot="1" x14ac:dyDescent="0.3">
      <c r="B19" s="431" t="s">
        <v>293</v>
      </c>
      <c r="C19" s="431"/>
      <c r="D19" s="431"/>
      <c r="E19" s="431"/>
      <c r="F19" s="431"/>
      <c r="G19" s="431"/>
      <c r="H19" s="431"/>
      <c r="I19" s="431"/>
      <c r="J19" s="431"/>
      <c r="K19" s="431"/>
      <c r="L19" s="431"/>
    </row>
    <row r="20" spans="2:26" ht="24.75" thickBot="1" x14ac:dyDescent="0.3">
      <c r="B20" s="108" t="s">
        <v>57</v>
      </c>
      <c r="C20" s="108" t="s">
        <v>58</v>
      </c>
      <c r="D20" s="118" t="s">
        <v>37</v>
      </c>
      <c r="E20" s="118" t="s">
        <v>37</v>
      </c>
      <c r="F20" s="119">
        <v>43</v>
      </c>
      <c r="G20" s="119">
        <v>23</v>
      </c>
      <c r="H20" s="119">
        <v>21</v>
      </c>
      <c r="I20" s="119">
        <v>21</v>
      </c>
      <c r="J20" s="119">
        <v>24</v>
      </c>
      <c r="K20" s="119">
        <v>9</v>
      </c>
      <c r="L20" s="119">
        <v>6</v>
      </c>
    </row>
    <row r="21" spans="2:26" ht="26.25" customHeight="1" thickBot="1" x14ac:dyDescent="0.3">
      <c r="B21" s="108" t="s">
        <v>55</v>
      </c>
      <c r="C21" s="108" t="s">
        <v>58</v>
      </c>
      <c r="D21" s="114" t="s">
        <v>59</v>
      </c>
      <c r="E21" s="114" t="s">
        <v>59</v>
      </c>
      <c r="F21" s="119">
        <v>23</v>
      </c>
      <c r="G21" s="116">
        <v>9.1</v>
      </c>
      <c r="H21" s="119">
        <v>15</v>
      </c>
      <c r="I21" s="119">
        <v>15</v>
      </c>
      <c r="J21" s="119">
        <v>15</v>
      </c>
      <c r="K21" s="119">
        <v>3</v>
      </c>
      <c r="L21" s="119">
        <v>3</v>
      </c>
    </row>
    <row r="22" spans="2:26" ht="24" customHeight="1" thickBot="1" x14ac:dyDescent="0.3">
      <c r="B22" s="419" t="s">
        <v>322</v>
      </c>
      <c r="C22" s="419"/>
      <c r="D22" s="419"/>
      <c r="E22" s="419"/>
      <c r="F22" s="419"/>
    </row>
    <row r="23" spans="2:26" ht="8.25" customHeight="1" thickBot="1" x14ac:dyDescent="0.3">
      <c r="B23" s="80"/>
      <c r="C23" s="80"/>
      <c r="D23" s="80"/>
      <c r="E23" s="80"/>
      <c r="F23" s="80"/>
    </row>
    <row r="24" spans="2:26" ht="23.25" customHeight="1" thickBot="1" x14ac:dyDescent="0.3">
      <c r="B24" s="4" t="s">
        <v>89</v>
      </c>
      <c r="C24" s="4" t="s">
        <v>54</v>
      </c>
      <c r="D24" s="14"/>
      <c r="E24" s="14"/>
      <c r="F24" s="82">
        <v>1000</v>
      </c>
      <c r="G24" s="82">
        <v>1000</v>
      </c>
      <c r="H24" s="82">
        <v>1000</v>
      </c>
      <c r="I24" s="82">
        <v>1000</v>
      </c>
      <c r="J24" s="82">
        <v>1000</v>
      </c>
      <c r="K24" s="82">
        <v>1000</v>
      </c>
      <c r="L24" s="82">
        <v>1000</v>
      </c>
    </row>
    <row r="25" spans="2:26" ht="20.25" customHeight="1" thickBot="1" x14ac:dyDescent="0.3">
      <c r="B25" s="4" t="s">
        <v>89</v>
      </c>
      <c r="C25" s="4" t="s">
        <v>54</v>
      </c>
      <c r="D25" s="14"/>
      <c r="E25" s="14"/>
      <c r="F25" s="82">
        <v>100</v>
      </c>
      <c r="G25" s="82">
        <v>100</v>
      </c>
      <c r="H25" s="82">
        <v>100</v>
      </c>
      <c r="I25" s="82">
        <v>100</v>
      </c>
      <c r="J25" s="82">
        <v>100</v>
      </c>
      <c r="K25" s="82">
        <v>100</v>
      </c>
      <c r="L25" s="82">
        <v>100</v>
      </c>
    </row>
    <row r="26" spans="2:26" ht="24.75" thickBot="1" x14ac:dyDescent="0.3">
      <c r="B26" s="4" t="s">
        <v>125</v>
      </c>
      <c r="C26" s="4" t="s">
        <v>54</v>
      </c>
      <c r="D26" s="14"/>
      <c r="E26" s="14"/>
      <c r="F26" s="82">
        <v>0.2</v>
      </c>
      <c r="G26" s="82">
        <v>0.2</v>
      </c>
      <c r="H26" s="82">
        <v>0.2</v>
      </c>
      <c r="I26" s="82">
        <v>0.2</v>
      </c>
      <c r="J26" s="82">
        <v>0.2</v>
      </c>
      <c r="K26" s="82">
        <v>0.2</v>
      </c>
      <c r="L26" s="82">
        <v>0.2</v>
      </c>
    </row>
    <row r="27" spans="2:26" ht="24.75" thickBot="1" x14ac:dyDescent="0.3">
      <c r="B27" s="4" t="s">
        <v>126</v>
      </c>
      <c r="C27" s="4" t="s">
        <v>54</v>
      </c>
      <c r="D27" s="14"/>
      <c r="E27" s="14"/>
      <c r="F27" s="82">
        <v>0.5</v>
      </c>
      <c r="G27" s="82">
        <v>0.5</v>
      </c>
      <c r="H27" s="82">
        <v>0.5</v>
      </c>
      <c r="I27" s="82">
        <v>0.5</v>
      </c>
      <c r="J27" s="82">
        <v>0.5</v>
      </c>
      <c r="K27" s="82">
        <v>0.5</v>
      </c>
      <c r="L27" s="82">
        <v>0.5</v>
      </c>
    </row>
    <row r="28" spans="2:26" ht="15.75" thickBot="1" x14ac:dyDescent="0.3"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</row>
    <row r="29" spans="2:26" ht="15.75" thickBot="1" x14ac:dyDescent="0.3">
      <c r="N29" s="92"/>
      <c r="O29" s="92"/>
      <c r="P29" s="93"/>
      <c r="Q29" s="421" t="s">
        <v>136</v>
      </c>
      <c r="R29" s="422"/>
      <c r="S29" s="423"/>
      <c r="T29" s="424" t="s">
        <v>137</v>
      </c>
      <c r="U29" s="425"/>
      <c r="V29" s="425"/>
      <c r="W29" s="425"/>
      <c r="X29" s="425"/>
      <c r="Y29" s="425"/>
      <c r="Z29" s="426"/>
    </row>
    <row r="30" spans="2:26" ht="39" thickBot="1" x14ac:dyDescent="0.3">
      <c r="N30" s="92"/>
      <c r="O30" s="92"/>
      <c r="P30" s="94" t="s">
        <v>35</v>
      </c>
      <c r="Q30" s="95" t="s">
        <v>133</v>
      </c>
      <c r="R30" s="95" t="s">
        <v>134</v>
      </c>
      <c r="S30" s="95" t="s">
        <v>135</v>
      </c>
      <c r="T30" s="96" t="s">
        <v>27</v>
      </c>
      <c r="U30" s="96" t="s">
        <v>28</v>
      </c>
      <c r="V30" s="96" t="s">
        <v>29</v>
      </c>
      <c r="W30" s="96" t="s">
        <v>30</v>
      </c>
      <c r="X30" s="96" t="s">
        <v>31</v>
      </c>
      <c r="Y30" s="96" t="s">
        <v>25</v>
      </c>
      <c r="Z30" s="96" t="s">
        <v>32</v>
      </c>
    </row>
    <row r="31" spans="2:26" ht="24.75" customHeight="1" thickBot="1" x14ac:dyDescent="0.3">
      <c r="O31" s="100" t="s">
        <v>132</v>
      </c>
      <c r="P31" s="97" t="s">
        <v>58</v>
      </c>
      <c r="Q31" s="98" t="s">
        <v>37</v>
      </c>
      <c r="R31" s="98" t="s">
        <v>37</v>
      </c>
      <c r="S31" s="98" t="s">
        <v>37</v>
      </c>
      <c r="T31" s="98">
        <v>43</v>
      </c>
      <c r="U31" s="98">
        <v>23</v>
      </c>
      <c r="V31" s="98">
        <v>21</v>
      </c>
      <c r="W31" s="98">
        <v>21</v>
      </c>
      <c r="X31" s="98">
        <v>24</v>
      </c>
      <c r="Y31" s="98">
        <v>9</v>
      </c>
      <c r="Z31" s="98">
        <v>6</v>
      </c>
    </row>
    <row r="32" spans="2:26" ht="24.75" customHeight="1" thickBot="1" x14ac:dyDescent="0.3">
      <c r="O32" s="100" t="s">
        <v>93</v>
      </c>
      <c r="P32" s="97" t="s">
        <v>58</v>
      </c>
      <c r="Q32" s="99">
        <v>1000</v>
      </c>
      <c r="R32" s="99">
        <v>2000</v>
      </c>
      <c r="S32" s="99">
        <v>1000</v>
      </c>
      <c r="T32" s="98">
        <v>23</v>
      </c>
      <c r="U32" s="98">
        <v>9.1</v>
      </c>
      <c r="V32" s="98">
        <v>15</v>
      </c>
      <c r="W32" s="98">
        <v>15</v>
      </c>
      <c r="X32" s="98">
        <v>15</v>
      </c>
      <c r="Y32" s="98">
        <v>3</v>
      </c>
      <c r="Z32" s="98">
        <v>3</v>
      </c>
    </row>
  </sheetData>
  <mergeCells count="11">
    <mergeCell ref="B8:L8"/>
    <mergeCell ref="B4:L4"/>
    <mergeCell ref="B6:B7"/>
    <mergeCell ref="C6:C7"/>
    <mergeCell ref="D6:E6"/>
    <mergeCell ref="F6:L6"/>
    <mergeCell ref="B14:L14"/>
    <mergeCell ref="B19:L19"/>
    <mergeCell ref="B22:F22"/>
    <mergeCell ref="Q29:S29"/>
    <mergeCell ref="T29:Z29"/>
  </mergeCells>
  <pageMargins left="0.7" right="0.7" top="0.75" bottom="0.75" header="0.3" footer="0.3"/>
  <pageSetup paperSize="9" scale="45" orientation="portrait" r:id="rId1"/>
  <colBreaks count="1" manualBreakCount="1">
    <brk id="13" max="35" man="1"/>
  </colBreaks>
  <oleObjects>
    <mc:AlternateContent xmlns:mc="http://schemas.openxmlformats.org/markup-compatibility/2006">
      <mc:Choice Requires="x14">
        <oleObject progId="Paint.Picture" shapeId="24577" r:id="rId4">
          <objectPr defaultSize="0" autoPict="0" r:id="rId5">
            <anchor moveWithCells="1">
              <from>
                <xdr:col>1</xdr:col>
                <xdr:colOff>28575</xdr:colOff>
                <xdr:row>28</xdr:row>
                <xdr:rowOff>76200</xdr:rowOff>
              </from>
              <to>
                <xdr:col>7</xdr:col>
                <xdr:colOff>304800</xdr:colOff>
                <xdr:row>44</xdr:row>
                <xdr:rowOff>152400</xdr:rowOff>
              </to>
            </anchor>
          </objectPr>
        </oleObject>
      </mc:Choice>
      <mc:Fallback>
        <oleObject progId="Paint.Picture" shapeId="24577" r:id="rId4"/>
      </mc:Fallback>
    </mc:AlternateContent>
  </oleObjec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030A0"/>
  </sheetPr>
  <dimension ref="B1:Z32"/>
  <sheetViews>
    <sheetView showGridLines="0" view="pageBreakPreview" topLeftCell="A43" zoomScale="150" zoomScaleNormal="145" zoomScaleSheetLayoutView="150" workbookViewId="0">
      <selection activeCell="C9" sqref="C9"/>
    </sheetView>
  </sheetViews>
  <sheetFormatPr baseColWidth="10" defaultColWidth="11.42578125" defaultRowHeight="15" x14ac:dyDescent="0.25"/>
  <cols>
    <col min="1" max="1" width="2.140625" customWidth="1"/>
    <col min="2" max="2" width="15.7109375" customWidth="1"/>
    <col min="3" max="3" width="10.28515625" customWidth="1"/>
    <col min="4" max="4" width="10.42578125" customWidth="1"/>
    <col min="5" max="5" width="11.28515625" customWidth="1"/>
    <col min="6" max="6" width="8.42578125" customWidth="1"/>
    <col min="7" max="7" width="7.5703125" customWidth="1"/>
    <col min="8" max="8" width="7.7109375" customWidth="1"/>
    <col min="9" max="9" width="9.28515625" customWidth="1"/>
    <col min="10" max="10" width="8.85546875" customWidth="1"/>
    <col min="11" max="11" width="7.140625" customWidth="1"/>
    <col min="12" max="12" width="17.140625" customWidth="1"/>
    <col min="13" max="13" width="3.42578125" customWidth="1"/>
    <col min="14" max="14" width="9.28515625" customWidth="1"/>
    <col min="15" max="15" width="20.85546875" customWidth="1"/>
    <col min="17" max="17" width="12.85546875" customWidth="1"/>
    <col min="18" max="18" width="13.140625" customWidth="1"/>
    <col min="22" max="22" width="14.42578125" customWidth="1"/>
    <col min="26" max="26" width="14" customWidth="1"/>
  </cols>
  <sheetData>
    <row r="1" spans="2:12" ht="6" customHeight="1" x14ac:dyDescent="0.25"/>
    <row r="2" spans="2:12" ht="6" customHeight="1" x14ac:dyDescent="0.25"/>
    <row r="3" spans="2:12" ht="6.75" customHeight="1" x14ac:dyDescent="0.25"/>
    <row r="4" spans="2:12" ht="37.5" customHeight="1" x14ac:dyDescent="0.25">
      <c r="B4" s="447" t="s">
        <v>329</v>
      </c>
      <c r="C4" s="448"/>
      <c r="D4" s="448"/>
      <c r="E4" s="448"/>
      <c r="F4" s="448"/>
      <c r="G4" s="448"/>
      <c r="H4" s="448"/>
      <c r="I4" s="448"/>
      <c r="J4" s="448"/>
      <c r="K4" s="448"/>
      <c r="L4" s="448"/>
    </row>
    <row r="5" spans="2:12" ht="2.25" customHeight="1" thickBot="1" x14ac:dyDescent="0.3"/>
    <row r="6" spans="2:12" ht="21.6" customHeight="1" thickBot="1" x14ac:dyDescent="0.3">
      <c r="B6" s="449" t="s">
        <v>34</v>
      </c>
      <c r="C6" s="449" t="s">
        <v>296</v>
      </c>
      <c r="D6" s="451" t="s">
        <v>33</v>
      </c>
      <c r="E6" s="451"/>
      <c r="F6" s="452" t="s">
        <v>137</v>
      </c>
      <c r="G6" s="453"/>
      <c r="H6" s="453"/>
      <c r="I6" s="453"/>
      <c r="J6" s="453"/>
      <c r="K6" s="453"/>
      <c r="L6" s="454"/>
    </row>
    <row r="7" spans="2:12" ht="46.5" customHeight="1" thickBot="1" x14ac:dyDescent="0.3">
      <c r="B7" s="450"/>
      <c r="C7" s="450"/>
      <c r="D7" s="120" t="s">
        <v>298</v>
      </c>
      <c r="E7" s="121" t="s">
        <v>297</v>
      </c>
      <c r="F7" s="122" t="s">
        <v>27</v>
      </c>
      <c r="G7" s="122" t="s">
        <v>28</v>
      </c>
      <c r="H7" s="122" t="s">
        <v>29</v>
      </c>
      <c r="I7" s="122" t="s">
        <v>30</v>
      </c>
      <c r="J7" s="122" t="s">
        <v>31</v>
      </c>
      <c r="K7" s="122" t="s">
        <v>25</v>
      </c>
      <c r="L7" s="122" t="s">
        <v>32</v>
      </c>
    </row>
    <row r="8" spans="2:12" ht="15.75" customHeight="1" thickBot="1" x14ac:dyDescent="0.3">
      <c r="B8" s="444" t="s">
        <v>295</v>
      </c>
      <c r="C8" s="445"/>
      <c r="D8" s="445"/>
      <c r="E8" s="445"/>
      <c r="F8" s="445"/>
      <c r="G8" s="445"/>
      <c r="H8" s="445"/>
      <c r="I8" s="445"/>
      <c r="J8" s="445"/>
      <c r="K8" s="445"/>
      <c r="L8" s="446"/>
    </row>
    <row r="9" spans="2:12" ht="24.75" thickBot="1" x14ac:dyDescent="0.3">
      <c r="B9" s="123" t="s">
        <v>41</v>
      </c>
      <c r="C9" s="123" t="s">
        <v>64</v>
      </c>
      <c r="D9" s="123" t="s">
        <v>62</v>
      </c>
      <c r="E9" s="123" t="s">
        <v>63</v>
      </c>
      <c r="F9" s="124">
        <v>3770</v>
      </c>
      <c r="G9" s="125">
        <v>2098</v>
      </c>
      <c r="H9" s="124">
        <v>2970</v>
      </c>
      <c r="I9" s="124">
        <v>2700</v>
      </c>
      <c r="J9" s="139">
        <v>2380</v>
      </c>
      <c r="K9" s="125">
        <v>515</v>
      </c>
      <c r="L9" s="126">
        <v>519</v>
      </c>
    </row>
    <row r="10" spans="2:12" ht="15.75" thickBot="1" x14ac:dyDescent="0.3">
      <c r="B10" s="127" t="s">
        <v>23</v>
      </c>
      <c r="C10" s="128" t="s">
        <v>37</v>
      </c>
      <c r="D10" s="128" t="s">
        <v>65</v>
      </c>
      <c r="E10" s="127" t="s">
        <v>66</v>
      </c>
      <c r="F10" s="129">
        <v>6.76</v>
      </c>
      <c r="G10" s="129">
        <v>6.88</v>
      </c>
      <c r="H10" s="129">
        <v>6.9</v>
      </c>
      <c r="I10" s="129">
        <v>6.84</v>
      </c>
      <c r="J10" s="129">
        <v>6.95</v>
      </c>
      <c r="K10" s="129">
        <v>7.2</v>
      </c>
      <c r="L10" s="130">
        <v>7.12</v>
      </c>
    </row>
    <row r="11" spans="2:12" ht="24.75" thickBot="1" x14ac:dyDescent="0.3">
      <c r="B11" s="127" t="s">
        <v>38</v>
      </c>
      <c r="C11" s="127" t="s">
        <v>24</v>
      </c>
      <c r="D11" s="128" t="s">
        <v>37</v>
      </c>
      <c r="E11" s="128" t="s">
        <v>37</v>
      </c>
      <c r="F11" s="131">
        <v>1951</v>
      </c>
      <c r="G11" s="131">
        <v>1060</v>
      </c>
      <c r="H11" s="131">
        <v>1522</v>
      </c>
      <c r="I11" s="131">
        <v>1358</v>
      </c>
      <c r="J11" s="131">
        <v>1206</v>
      </c>
      <c r="K11" s="131">
        <v>297</v>
      </c>
      <c r="L11" s="132">
        <v>251</v>
      </c>
    </row>
    <row r="12" spans="2:12" ht="15.75" thickBot="1" x14ac:dyDescent="0.3">
      <c r="B12" s="127" t="s">
        <v>39</v>
      </c>
      <c r="C12" s="127" t="s">
        <v>40</v>
      </c>
      <c r="D12" s="128" t="s">
        <v>37</v>
      </c>
      <c r="E12" s="128" t="s">
        <v>37</v>
      </c>
      <c r="F12" s="129">
        <v>24.8</v>
      </c>
      <c r="G12" s="129">
        <v>23.8</v>
      </c>
      <c r="H12" s="129">
        <v>24.5</v>
      </c>
      <c r="I12" s="129">
        <v>24.6</v>
      </c>
      <c r="J12" s="129">
        <v>24.2</v>
      </c>
      <c r="K12" s="129">
        <v>22</v>
      </c>
      <c r="L12" s="130">
        <v>22.4</v>
      </c>
    </row>
    <row r="13" spans="2:12" ht="15.75" thickBot="1" x14ac:dyDescent="0.3">
      <c r="B13" s="127" t="s">
        <v>327</v>
      </c>
      <c r="C13" s="127" t="s">
        <v>53</v>
      </c>
      <c r="D13" s="128" t="s">
        <v>37</v>
      </c>
      <c r="E13" s="128" t="s">
        <v>37</v>
      </c>
      <c r="F13" s="133">
        <v>18.04</v>
      </c>
      <c r="G13" s="133">
        <v>10.08</v>
      </c>
      <c r="H13" s="133">
        <v>25.6</v>
      </c>
      <c r="I13" s="133">
        <v>23.8</v>
      </c>
      <c r="J13" s="133">
        <v>27.9</v>
      </c>
      <c r="K13" s="133">
        <v>101</v>
      </c>
      <c r="L13" s="133">
        <v>156</v>
      </c>
    </row>
    <row r="14" spans="2:12" ht="15.75" customHeight="1" thickBot="1" x14ac:dyDescent="0.3">
      <c r="B14" s="442" t="s">
        <v>294</v>
      </c>
      <c r="C14" s="442"/>
      <c r="D14" s="442"/>
      <c r="E14" s="442"/>
      <c r="F14" s="442"/>
      <c r="G14" s="442"/>
      <c r="H14" s="442"/>
      <c r="I14" s="442"/>
      <c r="J14" s="442"/>
      <c r="K14" s="442"/>
      <c r="L14" s="442"/>
    </row>
    <row r="15" spans="2:12" ht="1.5" customHeight="1" thickBot="1" x14ac:dyDescent="0.3"/>
    <row r="16" spans="2:12" ht="15.75" thickBot="1" x14ac:dyDescent="0.3">
      <c r="B16" s="127" t="s">
        <v>46</v>
      </c>
      <c r="C16" s="127" t="s">
        <v>54</v>
      </c>
      <c r="D16" s="127" t="s">
        <v>59</v>
      </c>
      <c r="E16" s="127" t="s">
        <v>59</v>
      </c>
      <c r="F16" s="133">
        <f>40*5</f>
        <v>200</v>
      </c>
      <c r="G16" s="133">
        <f>30*5</f>
        <v>150</v>
      </c>
      <c r="H16" s="133">
        <f>38*5</f>
        <v>190</v>
      </c>
      <c r="I16" s="133">
        <f>39*5</f>
        <v>195</v>
      </c>
      <c r="J16" s="133">
        <f>46*5</f>
        <v>230</v>
      </c>
      <c r="K16" s="133">
        <f>20*5</f>
        <v>100</v>
      </c>
      <c r="L16" s="133">
        <f>19*5</f>
        <v>95</v>
      </c>
    </row>
    <row r="17" spans="2:26" ht="15.75" thickBot="1" x14ac:dyDescent="0.3">
      <c r="B17" s="127" t="s">
        <v>326</v>
      </c>
      <c r="C17" s="127" t="s">
        <v>54</v>
      </c>
      <c r="D17" s="127">
        <v>100</v>
      </c>
      <c r="E17" s="127">
        <v>100</v>
      </c>
      <c r="F17" s="134">
        <v>12.4</v>
      </c>
      <c r="G17" s="134">
        <v>11.6</v>
      </c>
      <c r="H17" s="135">
        <v>12.6</v>
      </c>
      <c r="I17" s="135">
        <v>12.3</v>
      </c>
      <c r="J17" s="134">
        <v>13.7</v>
      </c>
      <c r="K17" s="134">
        <v>10.3</v>
      </c>
      <c r="L17" s="135">
        <v>11.2</v>
      </c>
    </row>
    <row r="18" spans="2:26" ht="15.75" thickBot="1" x14ac:dyDescent="0.3">
      <c r="B18" s="127" t="s">
        <v>51</v>
      </c>
      <c r="C18" s="127" t="s">
        <v>54</v>
      </c>
      <c r="D18" s="127" t="s">
        <v>67</v>
      </c>
      <c r="E18" s="127" t="s">
        <v>68</v>
      </c>
      <c r="F18" s="136">
        <v>0.51</v>
      </c>
      <c r="G18" s="136">
        <v>0.62</v>
      </c>
      <c r="H18" s="136">
        <v>0.39300000000000002</v>
      </c>
      <c r="I18" s="136">
        <v>0.6</v>
      </c>
      <c r="J18" s="140">
        <v>0.21</v>
      </c>
      <c r="K18" s="136">
        <v>0.38100000000000001</v>
      </c>
      <c r="L18" s="136">
        <v>0.44</v>
      </c>
    </row>
    <row r="19" spans="2:26" ht="15.75" customHeight="1" thickBot="1" x14ac:dyDescent="0.3">
      <c r="B19" s="443" t="s">
        <v>293</v>
      </c>
      <c r="C19" s="443"/>
      <c r="D19" s="443"/>
      <c r="E19" s="443"/>
      <c r="F19" s="443"/>
      <c r="G19" s="443"/>
      <c r="H19" s="443"/>
      <c r="I19" s="443"/>
      <c r="J19" s="443"/>
      <c r="K19" s="443"/>
      <c r="L19" s="443"/>
    </row>
    <row r="20" spans="2:26" ht="24.75" thickBot="1" x14ac:dyDescent="0.3">
      <c r="B20" s="127" t="s">
        <v>57</v>
      </c>
      <c r="C20" s="127" t="s">
        <v>58</v>
      </c>
      <c r="D20" s="137" t="s">
        <v>37</v>
      </c>
      <c r="E20" s="137" t="s">
        <v>37</v>
      </c>
      <c r="F20" s="138">
        <v>93</v>
      </c>
      <c r="G20" s="138">
        <v>43</v>
      </c>
      <c r="H20" s="138">
        <v>35</v>
      </c>
      <c r="I20" s="138">
        <v>43</v>
      </c>
      <c r="J20" s="138">
        <v>35</v>
      </c>
      <c r="K20" s="138">
        <v>15</v>
      </c>
      <c r="L20" s="138">
        <v>15</v>
      </c>
    </row>
    <row r="21" spans="2:26" ht="26.25" customHeight="1" thickBot="1" x14ac:dyDescent="0.3">
      <c r="B21" s="127" t="s">
        <v>55</v>
      </c>
      <c r="C21" s="127" t="s">
        <v>58</v>
      </c>
      <c r="D21" s="133" t="s">
        <v>59</v>
      </c>
      <c r="E21" s="133" t="s">
        <v>59</v>
      </c>
      <c r="F21" s="138">
        <v>43</v>
      </c>
      <c r="G21" s="138">
        <v>23</v>
      </c>
      <c r="H21" s="138">
        <v>28</v>
      </c>
      <c r="I21" s="138">
        <v>23</v>
      </c>
      <c r="J21" s="138">
        <v>21</v>
      </c>
      <c r="K21" s="138">
        <v>15</v>
      </c>
      <c r="L21" s="138">
        <v>15</v>
      </c>
    </row>
    <row r="22" spans="2:26" ht="24" customHeight="1" thickBot="1" x14ac:dyDescent="0.3">
      <c r="B22" s="419" t="s">
        <v>322</v>
      </c>
      <c r="C22" s="419"/>
      <c r="D22" s="419"/>
      <c r="E22" s="419"/>
      <c r="F22" s="419"/>
    </row>
    <row r="23" spans="2:26" ht="8.25" customHeight="1" thickBot="1" x14ac:dyDescent="0.3">
      <c r="B23" s="80"/>
      <c r="C23" s="80"/>
      <c r="D23" s="80"/>
      <c r="E23" s="80"/>
      <c r="F23" s="80"/>
    </row>
    <row r="24" spans="2:26" ht="23.25" customHeight="1" thickBot="1" x14ac:dyDescent="0.3">
      <c r="B24" s="133" t="s">
        <v>89</v>
      </c>
      <c r="C24" s="133" t="s">
        <v>54</v>
      </c>
      <c r="D24" s="137"/>
      <c r="E24" s="137"/>
      <c r="F24" s="127">
        <v>1000</v>
      </c>
      <c r="G24" s="127">
        <v>1000</v>
      </c>
      <c r="H24" s="127">
        <v>1000</v>
      </c>
      <c r="I24" s="127">
        <v>1000</v>
      </c>
      <c r="J24" s="127">
        <v>1000</v>
      </c>
      <c r="K24" s="127">
        <v>1000</v>
      </c>
      <c r="L24" s="127">
        <v>1000</v>
      </c>
    </row>
    <row r="25" spans="2:26" ht="20.25" customHeight="1" thickBot="1" x14ac:dyDescent="0.3">
      <c r="B25" s="133" t="s">
        <v>89</v>
      </c>
      <c r="C25" s="133" t="s">
        <v>54</v>
      </c>
      <c r="D25" s="137"/>
      <c r="E25" s="137"/>
      <c r="F25" s="127">
        <v>100</v>
      </c>
      <c r="G25" s="127">
        <v>100</v>
      </c>
      <c r="H25" s="127">
        <v>100</v>
      </c>
      <c r="I25" s="127">
        <v>100</v>
      </c>
      <c r="J25" s="127">
        <v>100</v>
      </c>
      <c r="K25" s="127">
        <v>100</v>
      </c>
      <c r="L25" s="127">
        <v>100</v>
      </c>
    </row>
    <row r="26" spans="2:26" ht="24.75" thickBot="1" x14ac:dyDescent="0.3">
      <c r="B26" s="133" t="s">
        <v>125</v>
      </c>
      <c r="C26" s="133" t="s">
        <v>54</v>
      </c>
      <c r="D26" s="137"/>
      <c r="E26" s="137"/>
      <c r="F26" s="127">
        <v>0.2</v>
      </c>
      <c r="G26" s="127">
        <v>0.2</v>
      </c>
      <c r="H26" s="127">
        <v>0.2</v>
      </c>
      <c r="I26" s="127">
        <v>0.2</v>
      </c>
      <c r="J26" s="127">
        <v>0.2</v>
      </c>
      <c r="K26" s="127">
        <v>0.2</v>
      </c>
      <c r="L26" s="127">
        <v>0.2</v>
      </c>
    </row>
    <row r="27" spans="2:26" ht="24.75" thickBot="1" x14ac:dyDescent="0.3">
      <c r="B27" s="133" t="s">
        <v>126</v>
      </c>
      <c r="C27" s="133" t="s">
        <v>54</v>
      </c>
      <c r="D27" s="137"/>
      <c r="E27" s="137"/>
      <c r="F27" s="127">
        <v>0.5</v>
      </c>
      <c r="G27" s="127">
        <v>0.5</v>
      </c>
      <c r="H27" s="127">
        <v>0.5</v>
      </c>
      <c r="I27" s="127">
        <v>0.5</v>
      </c>
      <c r="J27" s="127">
        <v>0.5</v>
      </c>
      <c r="K27" s="127">
        <v>0.5</v>
      </c>
      <c r="L27" s="127">
        <v>0.5</v>
      </c>
    </row>
    <row r="28" spans="2:26" ht="15.75" thickBot="1" x14ac:dyDescent="0.3"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</row>
    <row r="29" spans="2:26" ht="15.75" thickBot="1" x14ac:dyDescent="0.3">
      <c r="N29" s="92"/>
      <c r="O29" s="92"/>
      <c r="P29" s="93"/>
      <c r="Q29" s="421" t="s">
        <v>136</v>
      </c>
      <c r="R29" s="422"/>
      <c r="S29" s="423"/>
      <c r="T29" s="424" t="s">
        <v>137</v>
      </c>
      <c r="U29" s="425"/>
      <c r="V29" s="425"/>
      <c r="W29" s="425"/>
      <c r="X29" s="425"/>
      <c r="Y29" s="425"/>
      <c r="Z29" s="426"/>
    </row>
    <row r="30" spans="2:26" ht="39" thickBot="1" x14ac:dyDescent="0.3">
      <c r="N30" s="92"/>
      <c r="O30" s="92"/>
      <c r="P30" s="94" t="s">
        <v>35</v>
      </c>
      <c r="Q30" s="95" t="s">
        <v>133</v>
      </c>
      <c r="R30" s="95" t="s">
        <v>134</v>
      </c>
      <c r="S30" s="95" t="s">
        <v>135</v>
      </c>
      <c r="T30" s="96" t="s">
        <v>27</v>
      </c>
      <c r="U30" s="96" t="s">
        <v>28</v>
      </c>
      <c r="V30" s="96" t="s">
        <v>29</v>
      </c>
      <c r="W30" s="96" t="s">
        <v>30</v>
      </c>
      <c r="X30" s="96" t="s">
        <v>31</v>
      </c>
      <c r="Y30" s="96" t="s">
        <v>25</v>
      </c>
      <c r="Z30" s="96" t="s">
        <v>32</v>
      </c>
    </row>
    <row r="31" spans="2:26" ht="24.75" customHeight="1" thickBot="1" x14ac:dyDescent="0.3">
      <c r="O31" s="100" t="s">
        <v>132</v>
      </c>
      <c r="P31" s="97" t="s">
        <v>58</v>
      </c>
      <c r="Q31" s="98" t="s">
        <v>37</v>
      </c>
      <c r="R31" s="98" t="s">
        <v>37</v>
      </c>
      <c r="S31" s="98" t="s">
        <v>37</v>
      </c>
      <c r="T31" s="98">
        <v>93</v>
      </c>
      <c r="U31" s="98">
        <v>43</v>
      </c>
      <c r="V31" s="98">
        <v>35</v>
      </c>
      <c r="W31" s="98">
        <v>43</v>
      </c>
      <c r="X31" s="98">
        <v>35</v>
      </c>
      <c r="Y31" s="98">
        <v>15</v>
      </c>
      <c r="Z31" s="98">
        <v>15</v>
      </c>
    </row>
    <row r="32" spans="2:26" ht="24.75" customHeight="1" thickBot="1" x14ac:dyDescent="0.3">
      <c r="O32" s="100" t="s">
        <v>93</v>
      </c>
      <c r="P32" s="97" t="s">
        <v>58</v>
      </c>
      <c r="Q32" s="99">
        <v>1000</v>
      </c>
      <c r="R32" s="99">
        <v>2000</v>
      </c>
      <c r="S32" s="99">
        <v>1000</v>
      </c>
      <c r="T32" s="98">
        <v>43</v>
      </c>
      <c r="U32" s="98">
        <v>23</v>
      </c>
      <c r="V32" s="98">
        <v>28</v>
      </c>
      <c r="W32" s="98">
        <v>23</v>
      </c>
      <c r="X32" s="98">
        <v>21</v>
      </c>
      <c r="Y32" s="98">
        <v>15</v>
      </c>
      <c r="Z32" s="98">
        <v>15</v>
      </c>
    </row>
  </sheetData>
  <mergeCells count="11">
    <mergeCell ref="B8:L8"/>
    <mergeCell ref="B4:L4"/>
    <mergeCell ref="B6:B7"/>
    <mergeCell ref="C6:C7"/>
    <mergeCell ref="D6:E6"/>
    <mergeCell ref="F6:L6"/>
    <mergeCell ref="B14:L14"/>
    <mergeCell ref="B19:L19"/>
    <mergeCell ref="B22:F22"/>
    <mergeCell ref="Q29:S29"/>
    <mergeCell ref="T29:Z29"/>
  </mergeCells>
  <pageMargins left="0.7" right="0.7" top="0.75" bottom="0.75" header="0.3" footer="0.3"/>
  <pageSetup paperSize="9" scale="45" orientation="portrait" r:id="rId1"/>
  <colBreaks count="1" manualBreakCount="1">
    <brk id="13" max="35" man="1"/>
  </colBreaks>
  <oleObjects>
    <mc:AlternateContent xmlns:mc="http://schemas.openxmlformats.org/markup-compatibility/2006">
      <mc:Choice Requires="x14">
        <oleObject progId="Paint.Picture" shapeId="28673" r:id="rId4">
          <objectPr defaultSize="0" autoPict="0" r:id="rId5">
            <anchor moveWithCells="1">
              <from>
                <xdr:col>1</xdr:col>
                <xdr:colOff>838200</xdr:colOff>
                <xdr:row>28</xdr:row>
                <xdr:rowOff>66675</xdr:rowOff>
              </from>
              <to>
                <xdr:col>8</xdr:col>
                <xdr:colOff>600075</xdr:colOff>
                <xdr:row>44</xdr:row>
                <xdr:rowOff>142875</xdr:rowOff>
              </to>
            </anchor>
          </objectPr>
        </oleObject>
      </mc:Choice>
      <mc:Fallback>
        <oleObject progId="Paint.Picture" shapeId="28673" r:id="rId4"/>
      </mc:Fallback>
    </mc:AlternateContent>
  </oleObjec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9FFCC"/>
  </sheetPr>
  <dimension ref="B1:Z39"/>
  <sheetViews>
    <sheetView showGridLines="0" view="pageBreakPreview" topLeftCell="A4" zoomScale="80" zoomScaleNormal="145" zoomScaleSheetLayoutView="80" workbookViewId="0">
      <selection activeCell="C11" sqref="C11"/>
    </sheetView>
  </sheetViews>
  <sheetFormatPr baseColWidth="10" defaultColWidth="11.42578125" defaultRowHeight="15" x14ac:dyDescent="0.25"/>
  <cols>
    <col min="1" max="1" width="2.140625" customWidth="1"/>
    <col min="2" max="2" width="19.140625" customWidth="1"/>
    <col min="3" max="3" width="10.28515625" customWidth="1"/>
    <col min="4" max="4" width="10.42578125" customWidth="1"/>
    <col min="5" max="5" width="11.28515625" customWidth="1"/>
    <col min="6" max="6" width="8.42578125" customWidth="1"/>
    <col min="7" max="7" width="7.5703125" customWidth="1"/>
    <col min="8" max="8" width="7.7109375" customWidth="1"/>
    <col min="9" max="9" width="9.28515625" customWidth="1"/>
    <col min="10" max="10" width="8.85546875" customWidth="1"/>
    <col min="11" max="11" width="7.140625" customWidth="1"/>
    <col min="12" max="12" width="17.140625" customWidth="1"/>
    <col min="13" max="13" width="3.42578125" customWidth="1"/>
    <col min="14" max="14" width="9.28515625" customWidth="1"/>
    <col min="15" max="15" width="20.85546875" customWidth="1"/>
    <col min="17" max="17" width="12.85546875" customWidth="1"/>
    <col min="18" max="18" width="13.140625" customWidth="1"/>
    <col min="22" max="22" width="14.42578125" customWidth="1"/>
    <col min="26" max="26" width="14" customWidth="1"/>
  </cols>
  <sheetData>
    <row r="1" spans="2:12" ht="6" customHeight="1" x14ac:dyDescent="0.25"/>
    <row r="2" spans="2:12" ht="6" customHeight="1" x14ac:dyDescent="0.25"/>
    <row r="3" spans="2:12" ht="6.75" customHeight="1" x14ac:dyDescent="0.25"/>
    <row r="4" spans="2:12" ht="37.5" customHeight="1" x14ac:dyDescent="0.25">
      <c r="B4" s="458" t="s">
        <v>331</v>
      </c>
      <c r="C4" s="459"/>
      <c r="D4" s="459"/>
      <c r="E4" s="459"/>
      <c r="F4" s="459"/>
      <c r="G4" s="459"/>
      <c r="H4" s="459"/>
      <c r="I4" s="459"/>
      <c r="J4" s="459"/>
      <c r="K4" s="459"/>
      <c r="L4" s="459"/>
    </row>
    <row r="5" spans="2:12" ht="2.25" customHeight="1" thickBot="1" x14ac:dyDescent="0.3"/>
    <row r="6" spans="2:12" ht="21.6" customHeight="1" thickBot="1" x14ac:dyDescent="0.3">
      <c r="B6" s="460" t="s">
        <v>34</v>
      </c>
      <c r="C6" s="460" t="s">
        <v>296</v>
      </c>
      <c r="D6" s="462" t="s">
        <v>33</v>
      </c>
      <c r="E6" s="462"/>
      <c r="F6" s="463" t="s">
        <v>137</v>
      </c>
      <c r="G6" s="464"/>
      <c r="H6" s="464"/>
      <c r="I6" s="464"/>
      <c r="J6" s="464"/>
      <c r="K6" s="464"/>
      <c r="L6" s="465"/>
    </row>
    <row r="7" spans="2:12" ht="46.5" customHeight="1" thickBot="1" x14ac:dyDescent="0.3">
      <c r="B7" s="461"/>
      <c r="C7" s="461"/>
      <c r="D7" s="141" t="s">
        <v>298</v>
      </c>
      <c r="E7" s="142" t="s">
        <v>297</v>
      </c>
      <c r="F7" s="143" t="s">
        <v>27</v>
      </c>
      <c r="G7" s="143" t="s">
        <v>28</v>
      </c>
      <c r="H7" s="143" t="s">
        <v>29</v>
      </c>
      <c r="I7" s="143" t="s">
        <v>30</v>
      </c>
      <c r="J7" s="143" t="s">
        <v>31</v>
      </c>
      <c r="K7" s="143" t="s">
        <v>25</v>
      </c>
      <c r="L7" s="143" t="s">
        <v>32</v>
      </c>
    </row>
    <row r="8" spans="2:12" ht="15.75" customHeight="1" thickBot="1" x14ac:dyDescent="0.3">
      <c r="B8" s="455" t="s">
        <v>295</v>
      </c>
      <c r="C8" s="456"/>
      <c r="D8" s="456"/>
      <c r="E8" s="456"/>
      <c r="F8" s="456"/>
      <c r="G8" s="456"/>
      <c r="H8" s="456"/>
      <c r="I8" s="456"/>
      <c r="J8" s="456"/>
      <c r="K8" s="456"/>
      <c r="L8" s="457"/>
    </row>
    <row r="9" spans="2:12" ht="21.75" customHeight="1" thickBot="1" x14ac:dyDescent="0.3">
      <c r="B9" s="144" t="s">
        <v>41</v>
      </c>
      <c r="C9" s="144" t="s">
        <v>64</v>
      </c>
      <c r="D9" s="144" t="s">
        <v>62</v>
      </c>
      <c r="E9" s="144" t="s">
        <v>63</v>
      </c>
      <c r="F9" s="145">
        <f>3.36*1000</f>
        <v>3360</v>
      </c>
      <c r="G9" s="146">
        <f>2.17*1000</f>
        <v>2170</v>
      </c>
      <c r="H9" s="145">
        <f>2.89*1000</f>
        <v>2890</v>
      </c>
      <c r="I9" s="145">
        <f>2.69*1000</f>
        <v>2690</v>
      </c>
      <c r="J9" s="147">
        <f>2.29*1000</f>
        <v>2290</v>
      </c>
      <c r="K9" s="146">
        <f>0.4*1000</f>
        <v>400</v>
      </c>
      <c r="L9" s="148">
        <f>0.39*1000</f>
        <v>390</v>
      </c>
    </row>
    <row r="10" spans="2:12" ht="15.75" thickBot="1" x14ac:dyDescent="0.3">
      <c r="B10" s="149" t="s">
        <v>23</v>
      </c>
      <c r="C10" s="150" t="s">
        <v>37</v>
      </c>
      <c r="D10" s="150" t="s">
        <v>65</v>
      </c>
      <c r="E10" s="149" t="s">
        <v>66</v>
      </c>
      <c r="F10" s="151">
        <v>7.87</v>
      </c>
      <c r="G10" s="151">
        <v>7.54</v>
      </c>
      <c r="H10" s="151">
        <v>7.23</v>
      </c>
      <c r="I10" s="151">
        <v>7.54</v>
      </c>
      <c r="J10" s="151">
        <v>7.84</v>
      </c>
      <c r="K10" s="151">
        <v>8.25</v>
      </c>
      <c r="L10" s="152">
        <v>7.93</v>
      </c>
    </row>
    <row r="11" spans="2:12" ht="15.75" thickBot="1" x14ac:dyDescent="0.3">
      <c r="B11" s="149" t="s">
        <v>38</v>
      </c>
      <c r="C11" s="149" t="s">
        <v>24</v>
      </c>
      <c r="D11" s="150" t="s">
        <v>37</v>
      </c>
      <c r="E11" s="150" t="s">
        <v>37</v>
      </c>
      <c r="F11" s="153">
        <v>1728</v>
      </c>
      <c r="G11" s="153">
        <v>1100</v>
      </c>
      <c r="H11" s="153">
        <v>1470</v>
      </c>
      <c r="I11" s="153">
        <v>1371</v>
      </c>
      <c r="J11" s="153">
        <v>1162</v>
      </c>
      <c r="K11" s="153">
        <v>194.5</v>
      </c>
      <c r="L11" s="154">
        <v>187</v>
      </c>
    </row>
    <row r="12" spans="2:12" ht="15.75" thickBot="1" x14ac:dyDescent="0.3">
      <c r="B12" s="149" t="s">
        <v>39</v>
      </c>
      <c r="C12" s="149" t="s">
        <v>40</v>
      </c>
      <c r="D12" s="150" t="s">
        <v>37</v>
      </c>
      <c r="E12" s="150" t="s">
        <v>37</v>
      </c>
      <c r="F12" s="151">
        <v>26.6</v>
      </c>
      <c r="G12" s="151">
        <v>26.4</v>
      </c>
      <c r="H12" s="151">
        <v>26.5</v>
      </c>
      <c r="I12" s="151">
        <v>26.5</v>
      </c>
      <c r="J12" s="151">
        <v>26.8</v>
      </c>
      <c r="K12" s="151">
        <v>22.8</v>
      </c>
      <c r="L12" s="152">
        <v>23.8</v>
      </c>
    </row>
    <row r="13" spans="2:12" ht="15.75" thickBot="1" x14ac:dyDescent="0.3">
      <c r="B13" s="149" t="s">
        <v>327</v>
      </c>
      <c r="C13" s="149" t="s">
        <v>53</v>
      </c>
      <c r="D13" s="150" t="s">
        <v>37</v>
      </c>
      <c r="E13" s="150" t="s">
        <v>37</v>
      </c>
      <c r="F13" s="155">
        <v>11.3</v>
      </c>
      <c r="G13" s="155">
        <v>13.3</v>
      </c>
      <c r="H13" s="155">
        <v>20.9</v>
      </c>
      <c r="I13" s="155">
        <v>18.8</v>
      </c>
      <c r="J13" s="155">
        <v>29.7</v>
      </c>
      <c r="K13" s="155">
        <v>153</v>
      </c>
      <c r="L13" s="155">
        <v>205</v>
      </c>
    </row>
    <row r="14" spans="2:12" ht="15.75" customHeight="1" thickBot="1" x14ac:dyDescent="0.3">
      <c r="B14" s="455" t="s">
        <v>294</v>
      </c>
      <c r="C14" s="456"/>
      <c r="D14" s="456"/>
      <c r="E14" s="456"/>
      <c r="F14" s="456"/>
      <c r="G14" s="456"/>
      <c r="H14" s="456"/>
      <c r="I14" s="456"/>
      <c r="J14" s="456"/>
      <c r="K14" s="456"/>
      <c r="L14" s="457"/>
    </row>
    <row r="15" spans="2:12" ht="7.5" customHeight="1" thickBot="1" x14ac:dyDescent="0.3"/>
    <row r="16" spans="2:12" ht="18" customHeight="1" thickBot="1" x14ac:dyDescent="0.3">
      <c r="B16" s="149" t="s">
        <v>46</v>
      </c>
      <c r="C16" s="149" t="s">
        <v>54</v>
      </c>
      <c r="D16" s="149" t="s">
        <v>59</v>
      </c>
      <c r="E16" s="149" t="s">
        <v>59</v>
      </c>
      <c r="F16" s="155">
        <f>35*5</f>
        <v>175</v>
      </c>
      <c r="G16" s="155">
        <f>38*5</f>
        <v>190</v>
      </c>
      <c r="H16" s="155">
        <f>32*5</f>
        <v>160</v>
      </c>
      <c r="I16" s="155">
        <f>34*5</f>
        <v>170</v>
      </c>
      <c r="J16" s="155">
        <f>45*5</f>
        <v>225</v>
      </c>
      <c r="K16" s="155">
        <f>28*5</f>
        <v>140</v>
      </c>
      <c r="L16" s="155">
        <f>25*5</f>
        <v>125</v>
      </c>
    </row>
    <row r="17" spans="2:13" ht="15.75" thickBot="1" x14ac:dyDescent="0.3">
      <c r="B17" s="149" t="s">
        <v>326</v>
      </c>
      <c r="C17" s="149" t="s">
        <v>54</v>
      </c>
      <c r="D17" s="149">
        <v>100</v>
      </c>
      <c r="E17" s="149">
        <v>100</v>
      </c>
      <c r="F17" s="156">
        <v>10.8</v>
      </c>
      <c r="G17" s="156">
        <v>10.199999999999999</v>
      </c>
      <c r="H17" s="157">
        <v>9.3000000000000007</v>
      </c>
      <c r="I17" s="157">
        <v>9.5</v>
      </c>
      <c r="J17" s="156">
        <v>8.8000000000000007</v>
      </c>
      <c r="K17" s="156">
        <v>7.6</v>
      </c>
      <c r="L17" s="157">
        <v>5</v>
      </c>
      <c r="M17" s="172"/>
    </row>
    <row r="18" spans="2:13" ht="15.75" thickBot="1" x14ac:dyDescent="0.3">
      <c r="B18" s="149" t="s">
        <v>51</v>
      </c>
      <c r="C18" s="149" t="s">
        <v>54</v>
      </c>
      <c r="D18" s="149" t="s">
        <v>67</v>
      </c>
      <c r="E18" s="149" t="s">
        <v>68</v>
      </c>
      <c r="F18" s="158">
        <v>1.38</v>
      </c>
      <c r="G18" s="158">
        <v>1.7</v>
      </c>
      <c r="H18" s="158">
        <v>1.92</v>
      </c>
      <c r="I18" s="158">
        <v>1.69</v>
      </c>
      <c r="J18" s="158">
        <v>1.1100000000000001</v>
      </c>
      <c r="K18" s="158">
        <v>0.11</v>
      </c>
      <c r="L18" s="158">
        <v>0.1</v>
      </c>
    </row>
    <row r="19" spans="2:13" ht="15.75" thickBot="1" x14ac:dyDescent="0.3">
      <c r="B19" s="149" t="s">
        <v>47</v>
      </c>
      <c r="C19" s="149" t="s">
        <v>54</v>
      </c>
      <c r="D19" s="149">
        <v>500</v>
      </c>
      <c r="E19" s="149" t="s">
        <v>37</v>
      </c>
      <c r="F19" s="161">
        <f>((F29*0.0141*35450)/100)*3</f>
        <v>341.89398000000006</v>
      </c>
      <c r="G19" s="161">
        <f t="shared" ref="G19:L19" si="0">((G29*0.0141*35450)/100)*3</f>
        <v>352.39072500000003</v>
      </c>
      <c r="H19" s="161">
        <f t="shared" si="0"/>
        <v>278.91350999999997</v>
      </c>
      <c r="I19" s="161">
        <f t="shared" si="0"/>
        <v>200.93769</v>
      </c>
      <c r="J19" s="161">
        <f t="shared" si="0"/>
        <v>182.94326999999998</v>
      </c>
      <c r="K19" s="161">
        <f t="shared" si="0"/>
        <v>71.977679999999992</v>
      </c>
      <c r="L19" s="161">
        <f t="shared" si="0"/>
        <v>38.987909999999999</v>
      </c>
    </row>
    <row r="20" spans="2:13" ht="15.75" thickBot="1" x14ac:dyDescent="0.3">
      <c r="B20" s="149" t="s">
        <v>49</v>
      </c>
      <c r="C20" s="149" t="s">
        <v>54</v>
      </c>
      <c r="D20" s="149" t="s">
        <v>67</v>
      </c>
      <c r="E20" s="149" t="s">
        <v>67</v>
      </c>
      <c r="F20" s="158">
        <v>2.9</v>
      </c>
      <c r="G20" s="158">
        <v>1.1000000000000001</v>
      </c>
      <c r="H20" s="157">
        <v>0.2</v>
      </c>
      <c r="I20" s="158">
        <v>0.4</v>
      </c>
      <c r="J20" s="158">
        <v>1.2</v>
      </c>
      <c r="K20" s="158">
        <v>0.4</v>
      </c>
      <c r="L20" s="158">
        <v>0.8</v>
      </c>
    </row>
    <row r="21" spans="2:13" ht="24.75" customHeight="1" thickBot="1" x14ac:dyDescent="0.3">
      <c r="B21" s="149" t="s">
        <v>50</v>
      </c>
      <c r="C21" s="149" t="s">
        <v>54</v>
      </c>
      <c r="D21" s="149">
        <v>5</v>
      </c>
      <c r="E21" s="149" t="s">
        <v>37</v>
      </c>
      <c r="F21" s="170">
        <v>0.161</v>
      </c>
      <c r="G21" s="170">
        <v>0.23699999999999999</v>
      </c>
      <c r="H21" s="170">
        <v>0.628</v>
      </c>
      <c r="I21" s="170">
        <v>0.13800000000000001</v>
      </c>
      <c r="J21" s="170">
        <v>0.10100000000000001</v>
      </c>
      <c r="K21" s="170">
        <v>0.26</v>
      </c>
      <c r="L21" s="170">
        <v>0.48</v>
      </c>
    </row>
    <row r="22" spans="2:13" ht="33" customHeight="1" thickBot="1" x14ac:dyDescent="0.3">
      <c r="B22" s="149" t="s">
        <v>333</v>
      </c>
      <c r="C22" s="149" t="s">
        <v>54</v>
      </c>
      <c r="D22" s="149" t="s">
        <v>69</v>
      </c>
      <c r="E22" s="149">
        <v>1</v>
      </c>
      <c r="F22" s="169">
        <v>2.3E-2</v>
      </c>
      <c r="G22" s="169">
        <v>2.5000000000000001E-2</v>
      </c>
      <c r="H22" s="170">
        <v>2.5999999999999999E-2</v>
      </c>
      <c r="I22" s="169">
        <v>2.1000000000000001E-2</v>
      </c>
      <c r="J22" s="171">
        <v>3.9E-2</v>
      </c>
      <c r="K22" s="169">
        <v>2.5999999999999999E-2</v>
      </c>
      <c r="L22" s="169">
        <v>2.1000000000000001E-2</v>
      </c>
    </row>
    <row r="23" spans="2:13" ht="15.75" thickBot="1" x14ac:dyDescent="0.3">
      <c r="B23" s="149" t="s">
        <v>332</v>
      </c>
      <c r="C23" s="149" t="s">
        <v>54</v>
      </c>
      <c r="D23" s="149">
        <v>10</v>
      </c>
      <c r="E23" s="149">
        <v>10</v>
      </c>
      <c r="F23" s="158">
        <v>5</v>
      </c>
      <c r="G23" s="158">
        <v>8</v>
      </c>
      <c r="H23" s="158">
        <v>7</v>
      </c>
      <c r="I23" s="158">
        <v>10</v>
      </c>
      <c r="J23" s="159">
        <v>5</v>
      </c>
      <c r="K23" s="158">
        <v>8</v>
      </c>
      <c r="L23" s="158">
        <v>6</v>
      </c>
    </row>
    <row r="24" spans="2:13" ht="15.75" thickBot="1" x14ac:dyDescent="0.3">
      <c r="B24" s="149" t="s">
        <v>334</v>
      </c>
      <c r="C24" s="149" t="s">
        <v>54</v>
      </c>
      <c r="D24" s="149">
        <v>2</v>
      </c>
      <c r="E24" s="149">
        <v>24</v>
      </c>
      <c r="F24" s="167">
        <v>0.12</v>
      </c>
      <c r="G24" s="167">
        <v>0.11</v>
      </c>
      <c r="H24" s="167">
        <v>0.09</v>
      </c>
      <c r="I24" s="167">
        <v>0.1</v>
      </c>
      <c r="J24" s="168">
        <v>0.16</v>
      </c>
      <c r="K24" s="167">
        <v>0.12</v>
      </c>
      <c r="L24" s="167">
        <v>0.13</v>
      </c>
    </row>
    <row r="25" spans="2:13" ht="15.75" customHeight="1" thickBot="1" x14ac:dyDescent="0.3">
      <c r="B25" s="455" t="s">
        <v>293</v>
      </c>
      <c r="C25" s="456"/>
      <c r="D25" s="456"/>
      <c r="E25" s="456"/>
      <c r="F25" s="456"/>
      <c r="G25" s="456"/>
      <c r="H25" s="456"/>
      <c r="I25" s="456"/>
      <c r="J25" s="456"/>
      <c r="K25" s="456"/>
      <c r="L25" s="457"/>
    </row>
    <row r="26" spans="2:13" ht="24.75" thickBot="1" x14ac:dyDescent="0.3">
      <c r="B26" s="149" t="s">
        <v>57</v>
      </c>
      <c r="C26" s="149" t="s">
        <v>58</v>
      </c>
      <c r="D26" s="160" t="s">
        <v>37</v>
      </c>
      <c r="E26" s="160" t="s">
        <v>37</v>
      </c>
      <c r="F26" s="161">
        <v>150</v>
      </c>
      <c r="G26" s="161">
        <v>75</v>
      </c>
      <c r="H26" s="161">
        <v>75</v>
      </c>
      <c r="I26" s="161">
        <v>43</v>
      </c>
      <c r="J26" s="161">
        <v>43</v>
      </c>
      <c r="K26" s="161">
        <v>35</v>
      </c>
      <c r="L26" s="161">
        <v>15</v>
      </c>
    </row>
    <row r="27" spans="2:13" ht="26.25" customHeight="1" thickBot="1" x14ac:dyDescent="0.3">
      <c r="B27" s="149" t="s">
        <v>55</v>
      </c>
      <c r="C27" s="149" t="s">
        <v>58</v>
      </c>
      <c r="D27" s="155" t="s">
        <v>59</v>
      </c>
      <c r="E27" s="155" t="s">
        <v>59</v>
      </c>
      <c r="F27" s="161">
        <v>75</v>
      </c>
      <c r="G27" s="161">
        <v>43</v>
      </c>
      <c r="H27" s="161">
        <v>23</v>
      </c>
      <c r="I27" s="161">
        <v>23</v>
      </c>
      <c r="J27" s="161">
        <v>15</v>
      </c>
      <c r="K27" s="161">
        <v>14</v>
      </c>
      <c r="L27" s="161">
        <v>9.1</v>
      </c>
    </row>
    <row r="28" spans="2:13" ht="24" customHeight="1" thickBot="1" x14ac:dyDescent="0.3">
      <c r="B28" s="419" t="s">
        <v>322</v>
      </c>
      <c r="C28" s="419"/>
      <c r="D28" s="419"/>
      <c r="E28" s="419"/>
      <c r="F28" s="419"/>
    </row>
    <row r="29" spans="2:13" ht="13.9" customHeight="1" thickBot="1" x14ac:dyDescent="0.3">
      <c r="B29" s="80"/>
      <c r="C29" s="80"/>
      <c r="D29" s="80"/>
      <c r="E29" s="80" t="s">
        <v>335</v>
      </c>
      <c r="F29" s="80">
        <v>22.8</v>
      </c>
      <c r="G29">
        <v>23.5</v>
      </c>
      <c r="H29">
        <v>18.600000000000001</v>
      </c>
      <c r="I29" s="166">
        <v>13.4</v>
      </c>
      <c r="J29" s="166">
        <v>12.2</v>
      </c>
      <c r="K29" s="166">
        <v>4.8</v>
      </c>
      <c r="L29" s="166">
        <v>2.6</v>
      </c>
    </row>
    <row r="30" spans="2:13" ht="23.25" customHeight="1" thickBot="1" x14ac:dyDescent="0.3">
      <c r="B30" s="155" t="s">
        <v>89</v>
      </c>
      <c r="C30" s="155" t="s">
        <v>54</v>
      </c>
      <c r="D30" s="160"/>
      <c r="E30" s="160"/>
      <c r="F30" s="149">
        <v>1000</v>
      </c>
      <c r="G30" s="149">
        <v>1000</v>
      </c>
      <c r="H30" s="149">
        <v>1000</v>
      </c>
      <c r="I30" s="149">
        <v>1000</v>
      </c>
      <c r="J30" s="149">
        <v>1000</v>
      </c>
      <c r="K30" s="149">
        <v>1000</v>
      </c>
      <c r="L30" s="149">
        <v>1000</v>
      </c>
    </row>
    <row r="31" spans="2:13" ht="20.25" customHeight="1" thickBot="1" x14ac:dyDescent="0.3">
      <c r="B31" s="155" t="s">
        <v>89</v>
      </c>
      <c r="C31" s="155" t="s">
        <v>54</v>
      </c>
      <c r="D31" s="160"/>
      <c r="E31" s="160"/>
      <c r="F31" s="149">
        <v>100</v>
      </c>
      <c r="G31" s="149">
        <v>100</v>
      </c>
      <c r="H31" s="149">
        <v>100</v>
      </c>
      <c r="I31" s="149">
        <v>100</v>
      </c>
      <c r="J31" s="149">
        <v>100</v>
      </c>
      <c r="K31" s="149">
        <v>100</v>
      </c>
      <c r="L31" s="149">
        <v>100</v>
      </c>
    </row>
    <row r="32" spans="2:13" ht="24.75" thickBot="1" x14ac:dyDescent="0.3">
      <c r="B32" s="155" t="s">
        <v>125</v>
      </c>
      <c r="C32" s="155" t="s">
        <v>54</v>
      </c>
      <c r="D32" s="160"/>
      <c r="E32" s="160"/>
      <c r="F32" s="149">
        <v>0.2</v>
      </c>
      <c r="G32" s="149">
        <v>0.2</v>
      </c>
      <c r="H32" s="149">
        <v>0.2</v>
      </c>
      <c r="I32" s="149">
        <v>0.2</v>
      </c>
      <c r="J32" s="149">
        <v>0.2</v>
      </c>
      <c r="K32" s="149">
        <v>0.2</v>
      </c>
      <c r="L32" s="149">
        <v>0.2</v>
      </c>
    </row>
    <row r="33" spans="2:26" ht="24.75" thickBot="1" x14ac:dyDescent="0.3">
      <c r="B33" s="155" t="s">
        <v>126</v>
      </c>
      <c r="C33" s="155" t="s">
        <v>54</v>
      </c>
      <c r="D33" s="160"/>
      <c r="E33" s="160"/>
      <c r="F33" s="149">
        <v>0.5</v>
      </c>
      <c r="G33" s="149">
        <v>0.5</v>
      </c>
      <c r="H33" s="149">
        <v>0.5</v>
      </c>
      <c r="I33" s="149">
        <v>0.5</v>
      </c>
      <c r="J33" s="149">
        <v>0.5</v>
      </c>
      <c r="K33" s="149">
        <v>0.5</v>
      </c>
      <c r="L33" s="149">
        <v>0.5</v>
      </c>
    </row>
    <row r="34" spans="2:26" ht="24.75" thickBot="1" x14ac:dyDescent="0.3">
      <c r="B34" s="155" t="s">
        <v>125</v>
      </c>
      <c r="C34" s="155" t="s">
        <v>54</v>
      </c>
      <c r="D34" s="160"/>
      <c r="E34" s="160"/>
      <c r="F34" s="149">
        <v>500</v>
      </c>
      <c r="G34" s="149">
        <v>500</v>
      </c>
      <c r="H34" s="149">
        <v>500</v>
      </c>
      <c r="I34" s="149">
        <v>500</v>
      </c>
      <c r="J34" s="149">
        <v>500</v>
      </c>
      <c r="K34" s="149">
        <v>500</v>
      </c>
      <c r="L34" s="149">
        <v>500</v>
      </c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</row>
    <row r="35" spans="2:26" ht="30.75" thickBot="1" x14ac:dyDescent="0.3">
      <c r="B35" s="155" t="s">
        <v>336</v>
      </c>
      <c r="C35" s="155" t="s">
        <v>54</v>
      </c>
      <c r="D35" s="160"/>
      <c r="E35" s="160"/>
      <c r="F35" s="149">
        <v>0.2</v>
      </c>
      <c r="G35" s="149">
        <v>0.2</v>
      </c>
      <c r="H35" s="149">
        <v>0.2</v>
      </c>
      <c r="I35" s="149">
        <v>0.2</v>
      </c>
      <c r="J35" s="149">
        <v>0.2</v>
      </c>
      <c r="K35" s="149">
        <v>0.2</v>
      </c>
      <c r="L35" s="149">
        <v>0.2</v>
      </c>
      <c r="P35" s="91"/>
      <c r="Q35" s="91" t="s">
        <v>136</v>
      </c>
      <c r="R35" s="91"/>
      <c r="S35" s="91"/>
      <c r="T35" s="91" t="s">
        <v>137</v>
      </c>
      <c r="U35" s="91"/>
      <c r="V35" s="91"/>
      <c r="W35" s="91"/>
      <c r="X35" s="91"/>
      <c r="Y35" s="91"/>
      <c r="Z35" s="91"/>
    </row>
    <row r="36" spans="2:26" ht="30.75" thickBot="1" x14ac:dyDescent="0.3">
      <c r="B36" s="155" t="s">
        <v>336</v>
      </c>
      <c r="C36" s="155" t="s">
        <v>54</v>
      </c>
      <c r="D36" s="160"/>
      <c r="E36" s="160"/>
      <c r="F36" s="149">
        <v>10</v>
      </c>
      <c r="G36" s="149">
        <v>10</v>
      </c>
      <c r="H36" s="149">
        <v>10</v>
      </c>
      <c r="I36" s="149">
        <v>10</v>
      </c>
      <c r="J36" s="149">
        <v>10</v>
      </c>
      <c r="K36" s="149">
        <v>10</v>
      </c>
      <c r="L36" s="149">
        <v>10</v>
      </c>
      <c r="P36" s="91"/>
      <c r="Q36" s="91" t="s">
        <v>136</v>
      </c>
      <c r="R36" s="91"/>
      <c r="S36" s="91"/>
      <c r="T36" s="91" t="s">
        <v>137</v>
      </c>
      <c r="U36" s="91"/>
      <c r="V36" s="91"/>
      <c r="W36" s="91"/>
      <c r="X36" s="91"/>
      <c r="Y36" s="91"/>
      <c r="Z36" s="91"/>
    </row>
    <row r="37" spans="2:26" ht="24.75" thickBot="1" x14ac:dyDescent="0.3">
      <c r="B37" s="155" t="s">
        <v>125</v>
      </c>
      <c r="C37" s="155" t="s">
        <v>54</v>
      </c>
      <c r="D37" s="160"/>
      <c r="E37" s="160"/>
      <c r="F37" s="149">
        <v>5</v>
      </c>
      <c r="G37" s="149">
        <v>5</v>
      </c>
      <c r="H37" s="149">
        <v>5</v>
      </c>
      <c r="I37" s="149">
        <v>5</v>
      </c>
      <c r="J37" s="149">
        <v>5</v>
      </c>
      <c r="K37" s="149">
        <v>5</v>
      </c>
      <c r="L37" s="149">
        <v>5</v>
      </c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</row>
    <row r="38" spans="2:26" ht="24.75" thickBot="1" x14ac:dyDescent="0.3">
      <c r="B38" s="155" t="s">
        <v>125</v>
      </c>
      <c r="C38" s="155" t="s">
        <v>54</v>
      </c>
      <c r="D38" s="160"/>
      <c r="E38" s="160"/>
      <c r="F38" s="149">
        <v>0.1</v>
      </c>
      <c r="G38" s="149">
        <v>0.1</v>
      </c>
      <c r="H38" s="149">
        <v>0.1</v>
      </c>
      <c r="I38" s="149">
        <v>0.1</v>
      </c>
      <c r="J38" s="149">
        <v>0.1</v>
      </c>
      <c r="K38" s="149">
        <v>0.1</v>
      </c>
      <c r="L38" s="149">
        <v>0.1</v>
      </c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</row>
    <row r="39" spans="2:26" ht="24.75" thickBot="1" x14ac:dyDescent="0.3">
      <c r="B39" s="155" t="s">
        <v>125</v>
      </c>
      <c r="C39" s="155" t="s">
        <v>54</v>
      </c>
      <c r="D39" s="160"/>
      <c r="E39" s="160"/>
      <c r="F39" s="149">
        <v>2</v>
      </c>
      <c r="G39" s="149">
        <v>2</v>
      </c>
      <c r="H39" s="149">
        <v>2</v>
      </c>
      <c r="I39" s="149">
        <v>2</v>
      </c>
      <c r="J39" s="149">
        <v>2</v>
      </c>
      <c r="K39" s="149">
        <v>2</v>
      </c>
      <c r="L39" s="149">
        <v>2</v>
      </c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</row>
  </sheetData>
  <mergeCells count="9">
    <mergeCell ref="B14:L14"/>
    <mergeCell ref="B25:L25"/>
    <mergeCell ref="B28:F28"/>
    <mergeCell ref="B8:L8"/>
    <mergeCell ref="B4:L4"/>
    <mergeCell ref="B6:B7"/>
    <mergeCell ref="C6:C7"/>
    <mergeCell ref="D6:E6"/>
    <mergeCell ref="F6:L6"/>
  </mergeCells>
  <pageMargins left="0.7" right="0.7" top="0.75" bottom="0.75" header="0.3" footer="0.3"/>
  <pageSetup paperSize="9" scale="45" orientation="portrait" r:id="rId1"/>
  <colBreaks count="1" manualBreakCount="1">
    <brk id="13" max="41" man="1"/>
  </colBreaks>
  <oleObjects>
    <mc:AlternateContent xmlns:mc="http://schemas.openxmlformats.org/markup-compatibility/2006">
      <mc:Choice Requires="x14">
        <oleObject progId="Paint.Picture" shapeId="32769" r:id="rId4">
          <objectPr defaultSize="0" autoPict="0" r:id="rId5">
            <anchor moveWithCells="1">
              <from>
                <xdr:col>23</xdr:col>
                <xdr:colOff>276225</xdr:colOff>
                <xdr:row>40</xdr:row>
                <xdr:rowOff>19050</xdr:rowOff>
              </from>
              <to>
                <xdr:col>28</xdr:col>
                <xdr:colOff>114300</xdr:colOff>
                <xdr:row>56</xdr:row>
                <xdr:rowOff>57150</xdr:rowOff>
              </to>
            </anchor>
          </objectPr>
        </oleObject>
      </mc:Choice>
      <mc:Fallback>
        <oleObject progId="Paint.Picture" shapeId="32769" r:id="rId4"/>
      </mc:Fallback>
    </mc:AlternateContent>
  </oleObjec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B1:Z39"/>
  <sheetViews>
    <sheetView showGridLines="0" view="pageBreakPreview" topLeftCell="A10" zoomScale="90" zoomScaleNormal="145" zoomScaleSheetLayoutView="90" workbookViewId="0">
      <selection activeCell="B24" sqref="B24:E24"/>
    </sheetView>
  </sheetViews>
  <sheetFormatPr baseColWidth="10" defaultColWidth="11.42578125" defaultRowHeight="15" x14ac:dyDescent="0.25"/>
  <cols>
    <col min="1" max="1" width="2.140625" customWidth="1"/>
    <col min="2" max="2" width="19.140625" customWidth="1"/>
    <col min="3" max="3" width="10.28515625" customWidth="1"/>
    <col min="4" max="4" width="10.42578125" customWidth="1"/>
    <col min="5" max="5" width="11.28515625" customWidth="1"/>
    <col min="6" max="6" width="8.42578125" customWidth="1"/>
    <col min="7" max="7" width="7.5703125" customWidth="1"/>
    <col min="8" max="8" width="7.7109375" customWidth="1"/>
    <col min="9" max="9" width="9.28515625" customWidth="1"/>
    <col min="10" max="10" width="8.85546875" customWidth="1"/>
    <col min="11" max="11" width="7.140625" customWidth="1"/>
    <col min="12" max="12" width="17.140625" customWidth="1"/>
    <col min="13" max="13" width="3.42578125" customWidth="1"/>
    <col min="14" max="14" width="9.28515625" customWidth="1"/>
    <col min="15" max="15" width="20.85546875" customWidth="1"/>
    <col min="17" max="17" width="12.85546875" customWidth="1"/>
    <col min="18" max="18" width="13.140625" customWidth="1"/>
    <col min="22" max="22" width="14.42578125" customWidth="1"/>
    <col min="26" max="26" width="14" customWidth="1"/>
  </cols>
  <sheetData>
    <row r="1" spans="2:12" ht="6" customHeight="1" x14ac:dyDescent="0.25"/>
    <row r="2" spans="2:12" ht="6" customHeight="1" x14ac:dyDescent="0.25"/>
    <row r="3" spans="2:12" ht="6.75" customHeight="1" x14ac:dyDescent="0.25"/>
    <row r="4" spans="2:12" ht="44.25" customHeight="1" x14ac:dyDescent="0.25">
      <c r="B4" s="458" t="s">
        <v>354</v>
      </c>
      <c r="C4" s="459"/>
      <c r="D4" s="459"/>
      <c r="E4" s="459"/>
      <c r="F4" s="459"/>
      <c r="G4" s="459"/>
      <c r="H4" s="459"/>
      <c r="I4" s="459"/>
      <c r="J4" s="459"/>
      <c r="K4" s="459"/>
      <c r="L4" s="459"/>
    </row>
    <row r="5" spans="2:12" ht="2.25" customHeight="1" thickBot="1" x14ac:dyDescent="0.3"/>
    <row r="6" spans="2:12" ht="21.6" customHeight="1" thickBot="1" x14ac:dyDescent="0.3">
      <c r="B6" s="460" t="s">
        <v>34</v>
      </c>
      <c r="C6" s="460" t="s">
        <v>296</v>
      </c>
      <c r="D6" s="462" t="s">
        <v>33</v>
      </c>
      <c r="E6" s="462"/>
      <c r="F6" s="463" t="s">
        <v>137</v>
      </c>
      <c r="G6" s="464"/>
      <c r="H6" s="464"/>
      <c r="I6" s="464"/>
      <c r="J6" s="464"/>
      <c r="K6" s="464"/>
      <c r="L6" s="465"/>
    </row>
    <row r="7" spans="2:12" ht="46.5" customHeight="1" thickBot="1" x14ac:dyDescent="0.3">
      <c r="B7" s="461"/>
      <c r="C7" s="461"/>
      <c r="D7" s="141" t="s">
        <v>298</v>
      </c>
      <c r="E7" s="142" t="s">
        <v>297</v>
      </c>
      <c r="F7" s="143" t="s">
        <v>27</v>
      </c>
      <c r="G7" s="143" t="s">
        <v>28</v>
      </c>
      <c r="H7" s="143" t="s">
        <v>29</v>
      </c>
      <c r="I7" s="143" t="s">
        <v>30</v>
      </c>
      <c r="J7" s="143" t="s">
        <v>31</v>
      </c>
      <c r="K7" s="143" t="s">
        <v>25</v>
      </c>
      <c r="L7" s="143" t="s">
        <v>32</v>
      </c>
    </row>
    <row r="8" spans="2:12" ht="15.75" customHeight="1" thickBot="1" x14ac:dyDescent="0.3">
      <c r="B8" s="455" t="s">
        <v>295</v>
      </c>
      <c r="C8" s="456"/>
      <c r="D8" s="456"/>
      <c r="E8" s="456"/>
      <c r="F8" s="456"/>
      <c r="G8" s="456"/>
      <c r="H8" s="456"/>
      <c r="I8" s="456"/>
      <c r="J8" s="456"/>
      <c r="K8" s="456"/>
      <c r="L8" s="457"/>
    </row>
    <row r="9" spans="2:12" ht="21.75" customHeight="1" thickBot="1" x14ac:dyDescent="0.3">
      <c r="B9" s="144" t="s">
        <v>41</v>
      </c>
      <c r="C9" s="144" t="s">
        <v>64</v>
      </c>
      <c r="D9" s="144" t="s">
        <v>62</v>
      </c>
      <c r="E9" s="144" t="s">
        <v>63</v>
      </c>
      <c r="F9" s="145">
        <f>3.5*1000</f>
        <v>3500</v>
      </c>
      <c r="G9" s="146">
        <f>2.07*1000</f>
        <v>2070</v>
      </c>
      <c r="H9" s="145">
        <f>2.77*1000</f>
        <v>2770</v>
      </c>
      <c r="I9" s="145">
        <f>2.73*1000</f>
        <v>2730</v>
      </c>
      <c r="J9" s="147">
        <f>2.26*1000</f>
        <v>2260</v>
      </c>
      <c r="K9" s="146">
        <v>294</v>
      </c>
      <c r="L9" s="148">
        <v>394</v>
      </c>
    </row>
    <row r="10" spans="2:12" ht="15.75" thickBot="1" x14ac:dyDescent="0.3">
      <c r="B10" s="149" t="s">
        <v>23</v>
      </c>
      <c r="C10" s="150" t="s">
        <v>37</v>
      </c>
      <c r="D10" s="150" t="s">
        <v>65</v>
      </c>
      <c r="E10" s="149" t="s">
        <v>66</v>
      </c>
      <c r="F10" s="226">
        <v>7.95</v>
      </c>
      <c r="G10" s="226">
        <v>7.67</v>
      </c>
      <c r="H10" s="226">
        <v>7.75</v>
      </c>
      <c r="I10" s="226">
        <v>7.89</v>
      </c>
      <c r="J10" s="226">
        <v>8.0399999999999991</v>
      </c>
      <c r="K10" s="226">
        <v>7.51</v>
      </c>
      <c r="L10" s="227">
        <v>7.47</v>
      </c>
    </row>
    <row r="11" spans="2:12" ht="23.25" customHeight="1" thickBot="1" x14ac:dyDescent="0.3">
      <c r="B11" s="149" t="s">
        <v>38</v>
      </c>
      <c r="C11" s="149" t="s">
        <v>24</v>
      </c>
      <c r="D11" s="150" t="s">
        <v>37</v>
      </c>
      <c r="E11" s="150" t="s">
        <v>37</v>
      </c>
      <c r="F11" s="153">
        <v>1563</v>
      </c>
      <c r="G11" s="153">
        <v>942</v>
      </c>
      <c r="H11" s="153">
        <v>1310</v>
      </c>
      <c r="I11" s="153">
        <v>1292</v>
      </c>
      <c r="J11" s="153">
        <v>1077</v>
      </c>
      <c r="K11" s="153">
        <v>146</v>
      </c>
      <c r="L11" s="154">
        <v>199</v>
      </c>
    </row>
    <row r="12" spans="2:12" ht="15.75" thickBot="1" x14ac:dyDescent="0.3">
      <c r="B12" s="149" t="s">
        <v>39</v>
      </c>
      <c r="C12" s="149" t="s">
        <v>40</v>
      </c>
      <c r="D12" s="150" t="s">
        <v>37</v>
      </c>
      <c r="E12" s="150" t="s">
        <v>37</v>
      </c>
      <c r="F12" s="151">
        <v>29.2</v>
      </c>
      <c r="G12" s="151">
        <v>28.4</v>
      </c>
      <c r="H12" s="151">
        <v>28.9</v>
      </c>
      <c r="I12" s="151">
        <v>28.9</v>
      </c>
      <c r="J12" s="151">
        <v>28</v>
      </c>
      <c r="K12" s="151">
        <v>22.9</v>
      </c>
      <c r="L12" s="152">
        <v>22.5</v>
      </c>
    </row>
    <row r="13" spans="2:12" ht="15.75" thickBot="1" x14ac:dyDescent="0.3">
      <c r="B13" s="149" t="s">
        <v>327</v>
      </c>
      <c r="C13" s="149" t="s">
        <v>53</v>
      </c>
      <c r="D13" s="150" t="s">
        <v>37</v>
      </c>
      <c r="E13" s="150" t="s">
        <v>37</v>
      </c>
      <c r="F13" s="155">
        <v>16.899999999999999</v>
      </c>
      <c r="G13" s="155">
        <v>20.100000000000001</v>
      </c>
      <c r="H13" s="155">
        <v>56.1</v>
      </c>
      <c r="I13" s="155">
        <v>27.4</v>
      </c>
      <c r="J13" s="155">
        <v>38.1</v>
      </c>
      <c r="K13" s="155">
        <v>251</v>
      </c>
      <c r="L13" s="155">
        <v>261</v>
      </c>
    </row>
    <row r="14" spans="2:12" ht="15.75" customHeight="1" thickBot="1" x14ac:dyDescent="0.3">
      <c r="B14" s="455" t="s">
        <v>294</v>
      </c>
      <c r="C14" s="456"/>
      <c r="D14" s="456"/>
      <c r="E14" s="456"/>
      <c r="F14" s="456"/>
      <c r="G14" s="456"/>
      <c r="H14" s="456"/>
      <c r="I14" s="456"/>
      <c r="J14" s="456"/>
      <c r="K14" s="456"/>
      <c r="L14" s="457"/>
    </row>
    <row r="15" spans="2:12" ht="7.5" customHeight="1" thickBot="1" x14ac:dyDescent="0.3"/>
    <row r="16" spans="2:12" ht="18" customHeight="1" thickBot="1" x14ac:dyDescent="0.3">
      <c r="B16" s="149" t="s">
        <v>46</v>
      </c>
      <c r="C16" s="149" t="s">
        <v>54</v>
      </c>
      <c r="D16" s="149" t="s">
        <v>59</v>
      </c>
      <c r="E16" s="149" t="s">
        <v>59</v>
      </c>
      <c r="F16" s="155">
        <f>40*5</f>
        <v>200</v>
      </c>
      <c r="G16" s="155">
        <f>44*5</f>
        <v>220</v>
      </c>
      <c r="H16" s="155">
        <f>40*5</f>
        <v>200</v>
      </c>
      <c r="I16" s="155">
        <f>38*5</f>
        <v>190</v>
      </c>
      <c r="J16" s="155">
        <f>33*5</f>
        <v>165</v>
      </c>
      <c r="K16" s="155">
        <f>25*5</f>
        <v>125</v>
      </c>
      <c r="L16" s="155">
        <f>26*5</f>
        <v>130</v>
      </c>
    </row>
    <row r="17" spans="2:13" ht="15.75" thickBot="1" x14ac:dyDescent="0.3">
      <c r="B17" s="149" t="s">
        <v>326</v>
      </c>
      <c r="C17" s="149" t="s">
        <v>54</v>
      </c>
      <c r="D17" s="149">
        <v>100</v>
      </c>
      <c r="E17" s="149">
        <v>100</v>
      </c>
      <c r="F17" s="156">
        <v>9.1999999999999993</v>
      </c>
      <c r="G17" s="156">
        <v>9.5</v>
      </c>
      <c r="H17" s="157">
        <v>9.3000000000000007</v>
      </c>
      <c r="I17" s="157">
        <v>8.3000000000000007</v>
      </c>
      <c r="J17" s="156">
        <v>8.8000000000000007</v>
      </c>
      <c r="K17" s="156">
        <v>1.3</v>
      </c>
      <c r="L17" s="157">
        <v>0.9</v>
      </c>
      <c r="M17" s="172"/>
    </row>
    <row r="18" spans="2:13" ht="15.75" thickBot="1" x14ac:dyDescent="0.3">
      <c r="B18" s="149" t="s">
        <v>51</v>
      </c>
      <c r="C18" s="149" t="s">
        <v>54</v>
      </c>
      <c r="D18" s="149" t="s">
        <v>67</v>
      </c>
      <c r="E18" s="149" t="s">
        <v>68</v>
      </c>
      <c r="F18" s="158">
        <v>2.1800000000000002</v>
      </c>
      <c r="G18" s="158">
        <v>2.17</v>
      </c>
      <c r="H18" s="158">
        <v>2.4</v>
      </c>
      <c r="I18" s="158">
        <v>2.35</v>
      </c>
      <c r="J18" s="158">
        <v>0.34</v>
      </c>
      <c r="K18" s="158">
        <v>0.2</v>
      </c>
      <c r="L18" s="158">
        <v>0.12</v>
      </c>
    </row>
    <row r="19" spans="2:13" ht="15.75" thickBot="1" x14ac:dyDescent="0.3">
      <c r="B19" s="149" t="s">
        <v>47</v>
      </c>
      <c r="C19" s="149" t="s">
        <v>54</v>
      </c>
      <c r="D19" s="149">
        <v>500</v>
      </c>
      <c r="E19" s="149" t="s">
        <v>37</v>
      </c>
      <c r="F19" s="161">
        <f>((F29*0.0141*35450)/100)*3</f>
        <v>191.94047999999998</v>
      </c>
      <c r="G19" s="161">
        <f t="shared" ref="G19:L19" si="0">((G29*0.0141*35450)/100)*3</f>
        <v>229.428855</v>
      </c>
      <c r="H19" s="161">
        <f t="shared" si="0"/>
        <v>278.91350999999997</v>
      </c>
      <c r="I19" s="161">
        <f t="shared" si="0"/>
        <v>185.94234</v>
      </c>
      <c r="J19" s="161">
        <f t="shared" si="0"/>
        <v>182.94326999999998</v>
      </c>
      <c r="K19" s="161">
        <f t="shared" si="0"/>
        <v>50.984189999999998</v>
      </c>
      <c r="L19" s="161">
        <f t="shared" si="0"/>
        <v>41.986979999999988</v>
      </c>
    </row>
    <row r="20" spans="2:13" ht="15.75" thickBot="1" x14ac:dyDescent="0.3">
      <c r="B20" s="149" t="s">
        <v>49</v>
      </c>
      <c r="C20" s="149" t="s">
        <v>54</v>
      </c>
      <c r="D20" s="149" t="s">
        <v>67</v>
      </c>
      <c r="E20" s="149" t="s">
        <v>67</v>
      </c>
      <c r="F20" s="158">
        <v>3.7</v>
      </c>
      <c r="G20" s="158">
        <v>1.8</v>
      </c>
      <c r="H20" s="157">
        <v>1.2</v>
      </c>
      <c r="I20" s="158">
        <v>1</v>
      </c>
      <c r="J20" s="158">
        <v>0.7</v>
      </c>
      <c r="K20" s="158">
        <v>0.4</v>
      </c>
      <c r="L20" s="158">
        <v>0.5</v>
      </c>
    </row>
    <row r="21" spans="2:13" ht="24.75" customHeight="1" thickBot="1" x14ac:dyDescent="0.3">
      <c r="B21" s="149" t="s">
        <v>50</v>
      </c>
      <c r="C21" s="149" t="s">
        <v>54</v>
      </c>
      <c r="D21" s="149">
        <v>5</v>
      </c>
      <c r="E21" s="149" t="s">
        <v>37</v>
      </c>
      <c r="F21" s="170">
        <v>7.9000000000000001E-2</v>
      </c>
      <c r="G21" s="170">
        <v>7.1999999999999995E-2</v>
      </c>
      <c r="H21" s="170">
        <v>6.8000000000000005E-2</v>
      </c>
      <c r="I21" s="170">
        <v>9.4E-2</v>
      </c>
      <c r="J21" s="170">
        <v>2.5999999999999999E-2</v>
      </c>
      <c r="K21" s="170">
        <v>5.8000000000000003E-2</v>
      </c>
      <c r="L21" s="170">
        <v>0.48</v>
      </c>
    </row>
    <row r="22" spans="2:13" ht="33" customHeight="1" thickBot="1" x14ac:dyDescent="0.3">
      <c r="B22" s="149" t="s">
        <v>333</v>
      </c>
      <c r="C22" s="149" t="s">
        <v>54</v>
      </c>
      <c r="D22" s="149" t="s">
        <v>69</v>
      </c>
      <c r="E22" s="149">
        <v>1</v>
      </c>
      <c r="F22" s="169">
        <v>2.4E-2</v>
      </c>
      <c r="G22" s="169">
        <v>6.5000000000000002E-2</v>
      </c>
      <c r="H22" s="170">
        <v>7.1999999999999995E-2</v>
      </c>
      <c r="I22" s="169">
        <v>3.5000000000000003E-2</v>
      </c>
      <c r="J22" s="171">
        <v>6.5000000000000002E-2</v>
      </c>
      <c r="K22" s="169">
        <v>7.9000000000000001E-2</v>
      </c>
      <c r="L22" s="169">
        <v>0.01</v>
      </c>
    </row>
    <row r="23" spans="2:13" ht="15.75" thickBot="1" x14ac:dyDescent="0.3">
      <c r="B23" s="149" t="s">
        <v>332</v>
      </c>
      <c r="C23" s="149" t="s">
        <v>54</v>
      </c>
      <c r="D23" s="149">
        <v>10</v>
      </c>
      <c r="E23" s="149">
        <v>10</v>
      </c>
      <c r="F23" s="229">
        <v>12</v>
      </c>
      <c r="G23" s="229">
        <v>16</v>
      </c>
      <c r="H23" s="229">
        <v>18</v>
      </c>
      <c r="I23" s="229">
        <v>10</v>
      </c>
      <c r="J23" s="230">
        <v>12</v>
      </c>
      <c r="K23" s="229">
        <v>17</v>
      </c>
      <c r="L23" s="229">
        <v>9</v>
      </c>
    </row>
    <row r="24" spans="2:13" ht="15.75" thickBot="1" x14ac:dyDescent="0.3">
      <c r="B24" s="149" t="s">
        <v>334</v>
      </c>
      <c r="C24" s="149" t="s">
        <v>54</v>
      </c>
      <c r="D24" s="149">
        <v>2</v>
      </c>
      <c r="E24" s="149">
        <v>24</v>
      </c>
      <c r="F24" s="167">
        <v>0.26</v>
      </c>
      <c r="G24" s="167">
        <v>0.13</v>
      </c>
      <c r="H24" s="167">
        <v>0.09</v>
      </c>
      <c r="I24" s="167">
        <v>0.1</v>
      </c>
      <c r="J24" s="168">
        <v>0.23</v>
      </c>
      <c r="K24" s="167">
        <v>0.19</v>
      </c>
      <c r="L24" s="167">
        <v>0.13</v>
      </c>
    </row>
    <row r="25" spans="2:13" ht="15.75" customHeight="1" thickBot="1" x14ac:dyDescent="0.3">
      <c r="B25" s="455" t="s">
        <v>293</v>
      </c>
      <c r="C25" s="456"/>
      <c r="D25" s="456"/>
      <c r="E25" s="456"/>
      <c r="F25" s="456"/>
      <c r="G25" s="456"/>
      <c r="H25" s="456"/>
      <c r="I25" s="456"/>
      <c r="J25" s="456"/>
      <c r="K25" s="456"/>
      <c r="L25" s="457"/>
    </row>
    <row r="26" spans="2:13" ht="24.75" thickBot="1" x14ac:dyDescent="0.3">
      <c r="B26" s="149" t="s">
        <v>57</v>
      </c>
      <c r="C26" s="149" t="s">
        <v>58</v>
      </c>
      <c r="D26" s="160" t="s">
        <v>37</v>
      </c>
      <c r="E26" s="160" t="s">
        <v>37</v>
      </c>
      <c r="F26" s="161">
        <v>150</v>
      </c>
      <c r="G26" s="161">
        <v>75</v>
      </c>
      <c r="H26" s="161">
        <v>75</v>
      </c>
      <c r="I26" s="161">
        <v>43</v>
      </c>
      <c r="J26" s="161">
        <v>43</v>
      </c>
      <c r="K26" s="161">
        <v>35</v>
      </c>
      <c r="L26" s="161">
        <v>15</v>
      </c>
    </row>
    <row r="27" spans="2:13" ht="26.25" customHeight="1" thickBot="1" x14ac:dyDescent="0.3">
      <c r="B27" s="149" t="s">
        <v>55</v>
      </c>
      <c r="C27" s="149" t="s">
        <v>58</v>
      </c>
      <c r="D27" s="155" t="s">
        <v>59</v>
      </c>
      <c r="E27" s="155" t="s">
        <v>59</v>
      </c>
      <c r="F27" s="161">
        <v>150</v>
      </c>
      <c r="G27" s="161">
        <v>23</v>
      </c>
      <c r="H27" s="161">
        <v>23</v>
      </c>
      <c r="I27" s="161">
        <v>23</v>
      </c>
      <c r="J27" s="161">
        <v>15</v>
      </c>
      <c r="K27" s="161">
        <v>14</v>
      </c>
      <c r="L27" s="161">
        <v>9.1</v>
      </c>
    </row>
    <row r="28" spans="2:13" ht="24" customHeight="1" thickBot="1" x14ac:dyDescent="0.3">
      <c r="B28" s="419" t="s">
        <v>322</v>
      </c>
      <c r="C28" s="419"/>
      <c r="D28" s="419"/>
      <c r="E28" s="419"/>
      <c r="F28" s="419"/>
    </row>
    <row r="29" spans="2:13" ht="21.75" customHeight="1" thickBot="1" x14ac:dyDescent="0.3">
      <c r="B29" s="80"/>
      <c r="C29" s="80"/>
      <c r="D29" s="80"/>
      <c r="E29" s="228" t="s">
        <v>335</v>
      </c>
      <c r="F29" s="80">
        <v>12.8</v>
      </c>
      <c r="G29" s="80">
        <v>15.3</v>
      </c>
      <c r="H29" s="80">
        <v>18.600000000000001</v>
      </c>
      <c r="I29" s="80">
        <v>12.4</v>
      </c>
      <c r="J29" s="80">
        <v>12.2</v>
      </c>
      <c r="K29" s="80">
        <v>3.4</v>
      </c>
      <c r="L29" s="80">
        <v>2.8</v>
      </c>
    </row>
    <row r="30" spans="2:13" ht="23.25" customHeight="1" thickBot="1" x14ac:dyDescent="0.3">
      <c r="B30" s="155" t="s">
        <v>89</v>
      </c>
      <c r="C30" s="155" t="s">
        <v>54</v>
      </c>
      <c r="D30" s="160"/>
      <c r="E30" s="160"/>
      <c r="F30" s="149">
        <v>1000</v>
      </c>
      <c r="G30" s="149">
        <v>1000</v>
      </c>
      <c r="H30" s="149">
        <v>1000</v>
      </c>
      <c r="I30" s="149">
        <v>1000</v>
      </c>
      <c r="J30" s="149">
        <v>1000</v>
      </c>
      <c r="K30" s="149">
        <v>1000</v>
      </c>
      <c r="L30" s="149">
        <v>1000</v>
      </c>
    </row>
    <row r="31" spans="2:13" ht="20.25" customHeight="1" thickBot="1" x14ac:dyDescent="0.3">
      <c r="B31" s="155" t="s">
        <v>89</v>
      </c>
      <c r="C31" s="155" t="s">
        <v>54</v>
      </c>
      <c r="D31" s="160"/>
      <c r="E31" s="160"/>
      <c r="F31" s="149">
        <v>100</v>
      </c>
      <c r="G31" s="149">
        <v>100</v>
      </c>
      <c r="H31" s="149">
        <v>100</v>
      </c>
      <c r="I31" s="149">
        <v>100</v>
      </c>
      <c r="J31" s="149">
        <v>100</v>
      </c>
      <c r="K31" s="149">
        <v>100</v>
      </c>
      <c r="L31" s="149">
        <v>100</v>
      </c>
    </row>
    <row r="32" spans="2:13" ht="24.75" thickBot="1" x14ac:dyDescent="0.3">
      <c r="B32" s="155" t="s">
        <v>125</v>
      </c>
      <c r="C32" s="155" t="s">
        <v>54</v>
      </c>
      <c r="D32" s="160"/>
      <c r="E32" s="160"/>
      <c r="F32" s="149">
        <v>0.2</v>
      </c>
      <c r="G32" s="149">
        <v>0.2</v>
      </c>
      <c r="H32" s="149">
        <v>0.2</v>
      </c>
      <c r="I32" s="149">
        <v>0.2</v>
      </c>
      <c r="J32" s="149">
        <v>0.2</v>
      </c>
      <c r="K32" s="149">
        <v>0.2</v>
      </c>
      <c r="L32" s="149">
        <v>0.2</v>
      </c>
    </row>
    <row r="33" spans="2:26" ht="24.75" thickBot="1" x14ac:dyDescent="0.3">
      <c r="B33" s="155" t="s">
        <v>126</v>
      </c>
      <c r="C33" s="155" t="s">
        <v>54</v>
      </c>
      <c r="D33" s="160"/>
      <c r="E33" s="160"/>
      <c r="F33" s="149">
        <v>0.5</v>
      </c>
      <c r="G33" s="149">
        <v>0.5</v>
      </c>
      <c r="H33" s="149">
        <v>0.5</v>
      </c>
      <c r="I33" s="149">
        <v>0.5</v>
      </c>
      <c r="J33" s="149">
        <v>0.5</v>
      </c>
      <c r="K33" s="149">
        <v>0.5</v>
      </c>
      <c r="L33" s="149">
        <v>0.5</v>
      </c>
    </row>
    <row r="34" spans="2:26" ht="24.75" thickBot="1" x14ac:dyDescent="0.3">
      <c r="B34" s="155" t="s">
        <v>125</v>
      </c>
      <c r="C34" s="155" t="s">
        <v>54</v>
      </c>
      <c r="D34" s="160"/>
      <c r="E34" s="160"/>
      <c r="F34" s="149">
        <v>500</v>
      </c>
      <c r="G34" s="149">
        <v>500</v>
      </c>
      <c r="H34" s="149">
        <v>500</v>
      </c>
      <c r="I34" s="149">
        <v>500</v>
      </c>
      <c r="J34" s="149">
        <v>500</v>
      </c>
      <c r="K34" s="149">
        <v>500</v>
      </c>
      <c r="L34" s="149">
        <v>500</v>
      </c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</row>
    <row r="35" spans="2:26" ht="30.75" thickBot="1" x14ac:dyDescent="0.3">
      <c r="B35" s="155" t="s">
        <v>336</v>
      </c>
      <c r="C35" s="155" t="s">
        <v>54</v>
      </c>
      <c r="D35" s="160"/>
      <c r="E35" s="160"/>
      <c r="F35" s="149">
        <v>0.2</v>
      </c>
      <c r="G35" s="149">
        <v>0.2</v>
      </c>
      <c r="H35" s="149">
        <v>0.2</v>
      </c>
      <c r="I35" s="149">
        <v>0.2</v>
      </c>
      <c r="J35" s="149">
        <v>0.2</v>
      </c>
      <c r="K35" s="149">
        <v>0.2</v>
      </c>
      <c r="L35" s="149">
        <v>0.2</v>
      </c>
      <c r="P35" s="91"/>
      <c r="Q35" s="91" t="s">
        <v>136</v>
      </c>
      <c r="R35" s="91"/>
      <c r="S35" s="91"/>
      <c r="T35" s="91" t="s">
        <v>137</v>
      </c>
      <c r="U35" s="91"/>
      <c r="V35" s="91"/>
      <c r="W35" s="91"/>
      <c r="X35" s="91"/>
      <c r="Y35" s="91"/>
      <c r="Z35" s="91"/>
    </row>
    <row r="36" spans="2:26" ht="30.75" thickBot="1" x14ac:dyDescent="0.3">
      <c r="B36" s="155" t="s">
        <v>336</v>
      </c>
      <c r="C36" s="155" t="s">
        <v>54</v>
      </c>
      <c r="D36" s="160"/>
      <c r="E36" s="160"/>
      <c r="F36" s="149">
        <v>10</v>
      </c>
      <c r="G36" s="149">
        <v>10</v>
      </c>
      <c r="H36" s="149">
        <v>10</v>
      </c>
      <c r="I36" s="149">
        <v>10</v>
      </c>
      <c r="J36" s="149">
        <v>10</v>
      </c>
      <c r="K36" s="149">
        <v>10</v>
      </c>
      <c r="L36" s="149">
        <v>10</v>
      </c>
      <c r="P36" s="91"/>
      <c r="Q36" s="91" t="s">
        <v>136</v>
      </c>
      <c r="R36" s="91"/>
      <c r="S36" s="91"/>
      <c r="T36" s="91" t="s">
        <v>137</v>
      </c>
      <c r="U36" s="91"/>
      <c r="V36" s="91"/>
      <c r="W36" s="91"/>
      <c r="X36" s="91"/>
      <c r="Y36" s="91"/>
      <c r="Z36" s="91"/>
    </row>
    <row r="37" spans="2:26" ht="24.75" thickBot="1" x14ac:dyDescent="0.3">
      <c r="B37" s="155" t="s">
        <v>125</v>
      </c>
      <c r="C37" s="155" t="s">
        <v>54</v>
      </c>
      <c r="D37" s="160"/>
      <c r="E37" s="160"/>
      <c r="F37" s="149">
        <v>5</v>
      </c>
      <c r="G37" s="149">
        <v>5</v>
      </c>
      <c r="H37" s="149">
        <v>5</v>
      </c>
      <c r="I37" s="149">
        <v>5</v>
      </c>
      <c r="J37" s="149">
        <v>5</v>
      </c>
      <c r="K37" s="149">
        <v>5</v>
      </c>
      <c r="L37" s="149">
        <v>5</v>
      </c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</row>
    <row r="38" spans="2:26" ht="24.75" thickBot="1" x14ac:dyDescent="0.3">
      <c r="B38" s="155" t="s">
        <v>125</v>
      </c>
      <c r="C38" s="155" t="s">
        <v>54</v>
      </c>
      <c r="D38" s="160"/>
      <c r="E38" s="160"/>
      <c r="F38" s="149">
        <v>0.1</v>
      </c>
      <c r="G38" s="149">
        <v>0.1</v>
      </c>
      <c r="H38" s="149">
        <v>0.1</v>
      </c>
      <c r="I38" s="149">
        <v>0.1</v>
      </c>
      <c r="J38" s="149">
        <v>0.1</v>
      </c>
      <c r="K38" s="149">
        <v>0.1</v>
      </c>
      <c r="L38" s="149">
        <v>0.1</v>
      </c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</row>
    <row r="39" spans="2:26" ht="24.75" thickBot="1" x14ac:dyDescent="0.3">
      <c r="B39" s="155" t="s">
        <v>125</v>
      </c>
      <c r="C39" s="155" t="s">
        <v>54</v>
      </c>
      <c r="D39" s="160"/>
      <c r="E39" s="160"/>
      <c r="F39" s="149">
        <v>2</v>
      </c>
      <c r="G39" s="149">
        <v>2</v>
      </c>
      <c r="H39" s="149">
        <v>2</v>
      </c>
      <c r="I39" s="149">
        <v>2</v>
      </c>
      <c r="J39" s="149">
        <v>2</v>
      </c>
      <c r="K39" s="149">
        <v>2</v>
      </c>
      <c r="L39" s="149">
        <v>2</v>
      </c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</row>
  </sheetData>
  <mergeCells count="9">
    <mergeCell ref="B14:L14"/>
    <mergeCell ref="B25:L25"/>
    <mergeCell ref="B28:F28"/>
    <mergeCell ref="B4:L4"/>
    <mergeCell ref="B6:B7"/>
    <mergeCell ref="C6:C7"/>
    <mergeCell ref="D6:E6"/>
    <mergeCell ref="F6:L6"/>
    <mergeCell ref="B8:L8"/>
  </mergeCells>
  <pageMargins left="0.7" right="0.7" top="0.75" bottom="0.75" header="0.3" footer="0.3"/>
  <pageSetup paperSize="9" scale="45" orientation="portrait" r:id="rId1"/>
  <colBreaks count="1" manualBreakCount="1">
    <brk id="13" max="41" man="1"/>
  </colBreaks>
  <ignoredErrors>
    <ignoredError sqref="G16" 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D2:AJ52"/>
  <sheetViews>
    <sheetView showGridLines="0" topLeftCell="C19" workbookViewId="0">
      <selection activeCell="J32" sqref="J32"/>
    </sheetView>
  </sheetViews>
  <sheetFormatPr baseColWidth="10" defaultRowHeight="15" x14ac:dyDescent="0.25"/>
  <cols>
    <col min="4" max="4" width="27.5703125" bestFit="1" customWidth="1"/>
    <col min="12" max="12" width="12" bestFit="1" customWidth="1"/>
    <col min="13" max="13" width="15.28515625" customWidth="1"/>
    <col min="14" max="14" width="13.7109375" customWidth="1"/>
    <col min="15" max="15" width="15.7109375" customWidth="1"/>
    <col min="16" max="22" width="8.7109375" customWidth="1"/>
    <col min="30" max="30" width="6.28515625" customWidth="1"/>
    <col min="31" max="31" width="7.5703125" customWidth="1"/>
    <col min="32" max="32" width="7.28515625" customWidth="1"/>
    <col min="33" max="33" width="7" customWidth="1"/>
    <col min="34" max="34" width="6.85546875" customWidth="1"/>
    <col min="35" max="35" width="7.140625" customWidth="1"/>
    <col min="36" max="36" width="6.5703125" customWidth="1"/>
  </cols>
  <sheetData>
    <row r="2" spans="4:19" x14ac:dyDescent="0.25">
      <c r="E2" s="469" t="s">
        <v>92</v>
      </c>
      <c r="F2" s="469"/>
      <c r="G2" s="469"/>
      <c r="H2" s="469"/>
      <c r="I2" s="469"/>
      <c r="J2" s="469"/>
      <c r="K2" s="469"/>
      <c r="M2" s="470" t="s">
        <v>97</v>
      </c>
      <c r="N2" s="470"/>
      <c r="O2" s="470"/>
      <c r="P2" s="470"/>
      <c r="Q2" s="470"/>
      <c r="R2" s="470"/>
      <c r="S2" s="470"/>
    </row>
    <row r="3" spans="4:19" x14ac:dyDescent="0.25">
      <c r="E3" s="32" t="s">
        <v>73</v>
      </c>
      <c r="F3" s="32" t="s">
        <v>74</v>
      </c>
      <c r="G3" s="32" t="s">
        <v>75</v>
      </c>
      <c r="H3" s="32" t="s">
        <v>76</v>
      </c>
      <c r="I3" s="32" t="s">
        <v>77</v>
      </c>
      <c r="J3" s="32" t="s">
        <v>78</v>
      </c>
      <c r="K3" s="32" t="s">
        <v>79</v>
      </c>
      <c r="M3" s="164" t="s">
        <v>27</v>
      </c>
      <c r="N3" s="164" t="s">
        <v>28</v>
      </c>
      <c r="O3" s="164" t="s">
        <v>29</v>
      </c>
      <c r="P3" s="164" t="s">
        <v>30</v>
      </c>
      <c r="Q3" s="164" t="s">
        <v>31</v>
      </c>
      <c r="R3" s="164" t="s">
        <v>25</v>
      </c>
      <c r="S3" s="164" t="s">
        <v>32</v>
      </c>
    </row>
    <row r="4" spans="4:19" ht="3.6" customHeight="1" x14ac:dyDescent="0.25"/>
    <row r="5" spans="4:19" x14ac:dyDescent="0.25">
      <c r="D5" t="s">
        <v>95</v>
      </c>
      <c r="E5" s="32" t="s">
        <v>100</v>
      </c>
      <c r="F5" s="32" t="s">
        <v>101</v>
      </c>
      <c r="G5" s="32" t="s">
        <v>102</v>
      </c>
      <c r="H5" s="32" t="s">
        <v>103</v>
      </c>
      <c r="I5" s="32" t="s">
        <v>102</v>
      </c>
      <c r="J5" s="32" t="s">
        <v>104</v>
      </c>
      <c r="K5" s="32" t="s">
        <v>105</v>
      </c>
    </row>
    <row r="6" spans="4:19" x14ac:dyDescent="0.25">
      <c r="D6" t="s">
        <v>96</v>
      </c>
      <c r="E6" s="163" t="s">
        <v>107</v>
      </c>
      <c r="F6" s="163">
        <v>1.01</v>
      </c>
      <c r="G6" s="163" t="s">
        <v>108</v>
      </c>
      <c r="H6" s="163" t="s">
        <v>112</v>
      </c>
      <c r="I6" s="163" t="s">
        <v>113</v>
      </c>
      <c r="J6" s="163" t="s">
        <v>114</v>
      </c>
      <c r="K6" s="163" t="s">
        <v>116</v>
      </c>
      <c r="M6" s="165">
        <v>150</v>
      </c>
      <c r="N6" s="165">
        <v>75</v>
      </c>
      <c r="O6" s="165">
        <v>75</v>
      </c>
      <c r="P6" s="165">
        <v>43</v>
      </c>
      <c r="Q6" s="165">
        <v>43</v>
      </c>
      <c r="R6" s="165">
        <v>35</v>
      </c>
      <c r="S6" s="165">
        <v>15</v>
      </c>
    </row>
    <row r="9" spans="4:19" x14ac:dyDescent="0.25">
      <c r="E9" s="469" t="s">
        <v>330</v>
      </c>
      <c r="F9" s="469"/>
      <c r="G9" s="469"/>
      <c r="H9" s="469"/>
      <c r="I9" s="469"/>
      <c r="J9" s="469"/>
      <c r="K9" s="469"/>
      <c r="M9" s="470" t="s">
        <v>98</v>
      </c>
      <c r="N9" s="470"/>
      <c r="O9" s="470"/>
      <c r="P9" s="470"/>
      <c r="Q9" s="470"/>
      <c r="R9" s="470"/>
      <c r="S9" s="470"/>
    </row>
    <row r="10" spans="4:19" x14ac:dyDescent="0.25">
      <c r="E10" s="32" t="s">
        <v>73</v>
      </c>
      <c r="F10" s="32" t="s">
        <v>74</v>
      </c>
      <c r="G10" s="32" t="s">
        <v>75</v>
      </c>
      <c r="H10" s="32" t="s">
        <v>76</v>
      </c>
      <c r="I10" s="32" t="s">
        <v>77</v>
      </c>
      <c r="J10" s="32" t="s">
        <v>78</v>
      </c>
      <c r="K10" s="32" t="s">
        <v>79</v>
      </c>
      <c r="M10" s="164" t="s">
        <v>27</v>
      </c>
      <c r="N10" s="164" t="s">
        <v>28</v>
      </c>
      <c r="O10" s="164" t="s">
        <v>29</v>
      </c>
      <c r="P10" s="164" t="s">
        <v>30</v>
      </c>
      <c r="Q10" s="164" t="s">
        <v>31</v>
      </c>
      <c r="R10" s="164" t="s">
        <v>25</v>
      </c>
      <c r="S10" s="164" t="s">
        <v>32</v>
      </c>
    </row>
    <row r="11" spans="4:19" ht="4.1500000000000004" customHeight="1" x14ac:dyDescent="0.25"/>
    <row r="12" spans="4:19" x14ac:dyDescent="0.25">
      <c r="D12" t="s">
        <v>95</v>
      </c>
      <c r="E12" s="32" t="s">
        <v>100</v>
      </c>
      <c r="F12" s="32" t="s">
        <v>101</v>
      </c>
      <c r="G12" s="32" t="s">
        <v>102</v>
      </c>
      <c r="H12" s="32" t="s">
        <v>103</v>
      </c>
      <c r="I12" s="32" t="s">
        <v>102</v>
      </c>
      <c r="J12" s="32" t="s">
        <v>104</v>
      </c>
      <c r="K12" s="32" t="s">
        <v>105</v>
      </c>
    </row>
    <row r="13" spans="4:19" x14ac:dyDescent="0.25">
      <c r="D13" t="s">
        <v>96</v>
      </c>
      <c r="E13" s="162" t="s">
        <v>114</v>
      </c>
      <c r="F13" s="162">
        <v>1.01</v>
      </c>
      <c r="G13" s="162" t="s">
        <v>110</v>
      </c>
      <c r="H13" s="162" t="s">
        <v>114</v>
      </c>
      <c r="I13" s="162" t="s">
        <v>111</v>
      </c>
      <c r="J13" s="162" t="s">
        <v>114</v>
      </c>
      <c r="K13" s="162">
        <v>0.11</v>
      </c>
      <c r="M13" s="165">
        <v>75</v>
      </c>
      <c r="N13" s="165">
        <v>43</v>
      </c>
      <c r="O13" s="165">
        <v>23</v>
      </c>
      <c r="P13" s="165">
        <v>23</v>
      </c>
      <c r="Q13" s="165">
        <v>15</v>
      </c>
      <c r="R13" s="165">
        <v>14</v>
      </c>
      <c r="S13" s="165">
        <v>9.1</v>
      </c>
    </row>
    <row r="17" spans="4:19" x14ac:dyDescent="0.25">
      <c r="E17" s="470" t="s">
        <v>94</v>
      </c>
      <c r="F17" s="470"/>
      <c r="G17" s="470"/>
      <c r="H17" s="470"/>
      <c r="I17" s="470"/>
      <c r="J17" s="470"/>
      <c r="K17" s="470"/>
      <c r="M17" s="470" t="s">
        <v>99</v>
      </c>
      <c r="N17" s="470"/>
      <c r="O17" s="470"/>
      <c r="P17" s="470"/>
      <c r="Q17" s="470"/>
      <c r="R17" s="470"/>
      <c r="S17" s="470"/>
    </row>
    <row r="18" spans="4:19" x14ac:dyDescent="0.25">
      <c r="E18" s="32" t="s">
        <v>73</v>
      </c>
      <c r="F18" s="32" t="s">
        <v>74</v>
      </c>
      <c r="G18" s="32" t="s">
        <v>75</v>
      </c>
      <c r="H18" s="32" t="s">
        <v>76</v>
      </c>
      <c r="I18" s="32" t="s">
        <v>77</v>
      </c>
      <c r="J18" s="32" t="s">
        <v>78</v>
      </c>
      <c r="K18" s="32" t="s">
        <v>79</v>
      </c>
      <c r="M18" s="32" t="s">
        <v>73</v>
      </c>
      <c r="N18" s="32" t="s">
        <v>74</v>
      </c>
      <c r="O18" s="32" t="s">
        <v>75</v>
      </c>
      <c r="P18" s="32" t="s">
        <v>76</v>
      </c>
      <c r="Q18" s="32" t="s">
        <v>77</v>
      </c>
      <c r="R18" s="32" t="s">
        <v>78</v>
      </c>
      <c r="S18" s="32" t="s">
        <v>79</v>
      </c>
    </row>
    <row r="19" spans="4:19" ht="6" customHeight="1" x14ac:dyDescent="0.25"/>
    <row r="20" spans="4:19" x14ac:dyDescent="0.25">
      <c r="E20" t="s">
        <v>107</v>
      </c>
      <c r="F20" t="s">
        <v>107</v>
      </c>
      <c r="G20" t="s">
        <v>108</v>
      </c>
      <c r="H20" t="s">
        <v>107</v>
      </c>
      <c r="I20" t="s">
        <v>107</v>
      </c>
      <c r="J20" t="s">
        <v>107</v>
      </c>
      <c r="K20" t="s">
        <v>106</v>
      </c>
    </row>
    <row r="21" spans="4:19" x14ac:dyDescent="0.25">
      <c r="D21" t="s">
        <v>109</v>
      </c>
      <c r="E21" s="33" t="s">
        <v>114</v>
      </c>
      <c r="F21" t="s">
        <v>114</v>
      </c>
      <c r="G21" t="s">
        <v>110</v>
      </c>
      <c r="H21" t="s">
        <v>114</v>
      </c>
      <c r="I21" t="s">
        <v>115</v>
      </c>
      <c r="J21">
        <v>0.01</v>
      </c>
      <c r="K21">
        <v>0.01</v>
      </c>
      <c r="M21">
        <v>3.6</v>
      </c>
      <c r="N21">
        <v>3.6</v>
      </c>
      <c r="O21">
        <v>3</v>
      </c>
      <c r="P21">
        <v>3.6</v>
      </c>
      <c r="Q21" s="33">
        <v>3</v>
      </c>
      <c r="R21" s="33">
        <v>3</v>
      </c>
      <c r="S21" s="33">
        <v>3</v>
      </c>
    </row>
    <row r="34" spans="10:36" ht="15.75" thickBot="1" x14ac:dyDescent="0.3"/>
    <row r="35" spans="10:36" ht="15.75" thickBot="1" x14ac:dyDescent="0.3">
      <c r="T35" s="466"/>
      <c r="U35" s="467"/>
      <c r="V35" s="467"/>
      <c r="W35" s="467"/>
      <c r="X35" s="467"/>
      <c r="Y35" s="467"/>
      <c r="Z35" s="468"/>
    </row>
    <row r="36" spans="10:36" ht="15.75" thickBot="1" x14ac:dyDescent="0.3">
      <c r="O36" s="46" t="s">
        <v>35</v>
      </c>
      <c r="T36" s="53"/>
      <c r="U36" s="53"/>
      <c r="V36" s="53"/>
      <c r="W36" s="53"/>
      <c r="X36" s="53"/>
      <c r="Y36" s="53"/>
      <c r="Z36" s="53"/>
    </row>
    <row r="37" spans="10:36" ht="15.75" thickBot="1" x14ac:dyDescent="0.3">
      <c r="M37" s="471" t="s">
        <v>132</v>
      </c>
      <c r="N37" s="472"/>
      <c r="O37" s="46" t="s">
        <v>58</v>
      </c>
      <c r="T37" s="54"/>
      <c r="U37" s="54"/>
      <c r="V37" s="54"/>
      <c r="W37" s="54"/>
      <c r="X37" s="54"/>
      <c r="Y37" s="54"/>
      <c r="Z37" s="54"/>
    </row>
    <row r="38" spans="10:36" ht="15.75" thickBot="1" x14ac:dyDescent="0.3">
      <c r="M38" s="471" t="s">
        <v>93</v>
      </c>
      <c r="N38" s="472"/>
      <c r="O38" s="46" t="s">
        <v>58</v>
      </c>
      <c r="T38" s="54"/>
      <c r="U38" s="54"/>
      <c r="V38" s="54"/>
      <c r="W38" s="54"/>
      <c r="X38" s="54"/>
      <c r="Y38" s="54"/>
      <c r="Z38" s="54"/>
    </row>
    <row r="39" spans="10:36" ht="15.75" thickBot="1" x14ac:dyDescent="0.3">
      <c r="M39" s="473" t="s">
        <v>94</v>
      </c>
      <c r="N39" s="473"/>
      <c r="O39" s="46" t="s">
        <v>58</v>
      </c>
      <c r="T39" s="54"/>
      <c r="U39" s="54"/>
      <c r="V39" s="54"/>
      <c r="W39" s="54"/>
      <c r="X39" s="54"/>
      <c r="Y39" s="54"/>
      <c r="Z39" s="54"/>
    </row>
    <row r="40" spans="10:36" ht="15.75" thickBot="1" x14ac:dyDescent="0.3">
      <c r="M40" s="50"/>
      <c r="N40" s="50"/>
      <c r="O40" s="50"/>
      <c r="P40" s="51"/>
      <c r="Q40" s="51"/>
      <c r="R40" s="51"/>
      <c r="T40" s="52"/>
      <c r="U40" s="52"/>
      <c r="V40" s="52"/>
      <c r="W40" s="52"/>
      <c r="X40" s="52"/>
      <c r="Y40" s="52"/>
      <c r="Z40" s="52"/>
    </row>
    <row r="41" spans="10:36" ht="15.75" thickBot="1" x14ac:dyDescent="0.3">
      <c r="M41" s="471" t="s">
        <v>136</v>
      </c>
      <c r="N41" s="472"/>
      <c r="O41" s="474"/>
      <c r="P41" s="475" t="s">
        <v>137</v>
      </c>
      <c r="Q41" s="476"/>
      <c r="R41" s="476"/>
      <c r="S41" s="476"/>
      <c r="T41" s="476"/>
      <c r="U41" s="476"/>
      <c r="V41" s="477"/>
    </row>
    <row r="42" spans="10:36" ht="33.75" customHeight="1" thickBot="1" x14ac:dyDescent="0.3">
      <c r="L42" s="46" t="s">
        <v>35</v>
      </c>
      <c r="M42" s="65" t="s">
        <v>133</v>
      </c>
      <c r="N42" s="65" t="s">
        <v>134</v>
      </c>
      <c r="O42" s="65" t="s">
        <v>135</v>
      </c>
      <c r="P42" s="49" t="s">
        <v>73</v>
      </c>
      <c r="Q42" s="49" t="s">
        <v>74</v>
      </c>
      <c r="R42" s="49" t="s">
        <v>75</v>
      </c>
      <c r="S42" s="49" t="s">
        <v>76</v>
      </c>
      <c r="T42" s="49" t="s">
        <v>77</v>
      </c>
      <c r="U42" s="49" t="s">
        <v>78</v>
      </c>
      <c r="V42" s="49" t="s">
        <v>79</v>
      </c>
    </row>
    <row r="43" spans="10:36" ht="15.75" thickBot="1" x14ac:dyDescent="0.3">
      <c r="J43" s="471" t="s">
        <v>132</v>
      </c>
      <c r="K43" s="472"/>
      <c r="L43" s="46" t="s">
        <v>58</v>
      </c>
      <c r="M43" s="47" t="s">
        <v>37</v>
      </c>
      <c r="N43" s="47" t="s">
        <v>37</v>
      </c>
      <c r="O43" s="47" t="s">
        <v>37</v>
      </c>
      <c r="P43" s="47">
        <v>150</v>
      </c>
      <c r="Q43" s="47">
        <v>75</v>
      </c>
      <c r="R43" s="47">
        <v>75</v>
      </c>
      <c r="S43" s="47">
        <v>43</v>
      </c>
      <c r="T43" s="47">
        <v>43</v>
      </c>
      <c r="U43" s="47">
        <v>35</v>
      </c>
      <c r="V43" s="47">
        <v>15</v>
      </c>
    </row>
    <row r="44" spans="10:36" ht="15.75" thickBot="1" x14ac:dyDescent="0.3">
      <c r="J44" s="471" t="s">
        <v>93</v>
      </c>
      <c r="K44" s="472"/>
      <c r="L44" s="46" t="s">
        <v>58</v>
      </c>
      <c r="M44" s="48">
        <v>1000</v>
      </c>
      <c r="N44" s="48">
        <v>2000</v>
      </c>
      <c r="O44" s="48">
        <v>1000</v>
      </c>
      <c r="P44" s="47">
        <v>75</v>
      </c>
      <c r="Q44" s="47">
        <v>43</v>
      </c>
      <c r="R44" s="47">
        <v>23</v>
      </c>
      <c r="S44" s="47">
        <v>23</v>
      </c>
      <c r="T44" s="47">
        <v>15</v>
      </c>
      <c r="U44" s="47">
        <v>14</v>
      </c>
      <c r="V44" s="47">
        <v>9.1</v>
      </c>
    </row>
    <row r="47" spans="10:36" ht="15.75" thickBot="1" x14ac:dyDescent="0.3"/>
    <row r="48" spans="10:36" ht="15.75" thickBot="1" x14ac:dyDescent="0.3">
      <c r="AD48" s="475" t="s">
        <v>137</v>
      </c>
      <c r="AE48" s="476"/>
      <c r="AF48" s="476"/>
      <c r="AG48" s="476"/>
      <c r="AH48" s="476"/>
      <c r="AI48" s="476"/>
      <c r="AJ48" s="477"/>
    </row>
    <row r="49" spans="27:36" ht="15.75" thickBot="1" x14ac:dyDescent="0.3">
      <c r="AC49" s="55" t="s">
        <v>35</v>
      </c>
      <c r="AD49" s="49" t="s">
        <v>73</v>
      </c>
      <c r="AE49" s="49" t="s">
        <v>74</v>
      </c>
      <c r="AF49" s="49" t="s">
        <v>75</v>
      </c>
      <c r="AG49" s="49" t="s">
        <v>76</v>
      </c>
      <c r="AH49" s="49" t="s">
        <v>77</v>
      </c>
      <c r="AI49" s="49" t="s">
        <v>78</v>
      </c>
      <c r="AJ49" s="49" t="s">
        <v>79</v>
      </c>
    </row>
    <row r="50" spans="27:36" ht="15.75" thickBot="1" x14ac:dyDescent="0.3">
      <c r="AA50" s="471" t="s">
        <v>132</v>
      </c>
      <c r="AB50" s="472"/>
      <c r="AC50" s="55" t="s">
        <v>58</v>
      </c>
      <c r="AD50" s="47">
        <v>11</v>
      </c>
      <c r="AE50" s="47">
        <v>7.2</v>
      </c>
      <c r="AF50" s="47">
        <v>15</v>
      </c>
      <c r="AG50" s="47">
        <v>7.3</v>
      </c>
      <c r="AH50" s="47">
        <v>9.3000000000000007</v>
      </c>
      <c r="AI50" s="47">
        <v>3.6</v>
      </c>
      <c r="AJ50" s="47">
        <v>9.1999999999999993</v>
      </c>
    </row>
    <row r="51" spans="27:36" ht="15.75" thickBot="1" x14ac:dyDescent="0.3">
      <c r="AA51" s="471" t="s">
        <v>93</v>
      </c>
      <c r="AB51" s="472"/>
      <c r="AC51" s="55" t="s">
        <v>58</v>
      </c>
      <c r="AD51" s="47">
        <v>3.6</v>
      </c>
      <c r="AE51" s="47">
        <v>7.2</v>
      </c>
      <c r="AF51" s="47">
        <v>3</v>
      </c>
      <c r="AG51" s="47">
        <v>3.6</v>
      </c>
      <c r="AH51" s="47">
        <v>6.1</v>
      </c>
      <c r="AI51" s="47">
        <v>3.6</v>
      </c>
      <c r="AJ51" s="47">
        <v>6.1</v>
      </c>
    </row>
    <row r="52" spans="27:36" ht="15.75" thickBot="1" x14ac:dyDescent="0.3">
      <c r="AA52" s="473" t="s">
        <v>94</v>
      </c>
      <c r="AB52" s="473"/>
      <c r="AC52" s="55" t="s">
        <v>58</v>
      </c>
      <c r="AD52" s="47">
        <v>3.6</v>
      </c>
      <c r="AE52" s="47">
        <v>3.6</v>
      </c>
      <c r="AF52" s="47">
        <v>3</v>
      </c>
      <c r="AG52" s="47">
        <v>3.6</v>
      </c>
      <c r="AH52" s="47">
        <v>3</v>
      </c>
      <c r="AI52" s="47">
        <v>3</v>
      </c>
      <c r="AJ52" s="47">
        <v>3</v>
      </c>
    </row>
  </sheetData>
  <mergeCells count="18">
    <mergeCell ref="AA51:AB51"/>
    <mergeCell ref="AA52:AB52"/>
    <mergeCell ref="J43:K43"/>
    <mergeCell ref="J44:K44"/>
    <mergeCell ref="AD48:AJ48"/>
    <mergeCell ref="M37:N37"/>
    <mergeCell ref="M38:N38"/>
    <mergeCell ref="M39:N39"/>
    <mergeCell ref="AA50:AB50"/>
    <mergeCell ref="M41:O41"/>
    <mergeCell ref="P41:V41"/>
    <mergeCell ref="T35:Z35"/>
    <mergeCell ref="E2:K2"/>
    <mergeCell ref="E9:K9"/>
    <mergeCell ref="E17:K17"/>
    <mergeCell ref="M2:S2"/>
    <mergeCell ref="M9:S9"/>
    <mergeCell ref="M17:S17"/>
  </mergeCells>
  <pageMargins left="0.7" right="0.7" top="0.75" bottom="0.75" header="0.3" footer="0.3"/>
  <pageSetup paperSize="9" orientation="portrait" r:id="rId1"/>
  <oleObjects>
    <mc:AlternateContent xmlns:mc="http://schemas.openxmlformats.org/markup-compatibility/2006">
      <mc:Choice Requires="x14">
        <oleObject progId="Paint.Picture" shapeId="6145" r:id="rId4">
          <objectPr defaultSize="0" autoPict="0" r:id="rId5">
            <anchor moveWithCells="1">
              <from>
                <xdr:col>20</xdr:col>
                <xdr:colOff>590550</xdr:colOff>
                <xdr:row>0</xdr:row>
                <xdr:rowOff>66675</xdr:rowOff>
              </from>
              <to>
                <xdr:col>28</xdr:col>
                <xdr:colOff>85725</xdr:colOff>
                <xdr:row>24</xdr:row>
                <xdr:rowOff>66675</xdr:rowOff>
              </to>
            </anchor>
          </objectPr>
        </oleObject>
      </mc:Choice>
      <mc:Fallback>
        <oleObject progId="Paint.Picture" shapeId="6145" r:id="rId4"/>
      </mc:Fallback>
    </mc:AlternateContent>
  </oleObjec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86"/>
  <sheetViews>
    <sheetView showGridLines="0" view="pageBreakPreview" zoomScaleNormal="145" zoomScaleSheetLayoutView="100" workbookViewId="0">
      <selection activeCell="B61" sqref="B61:B62"/>
    </sheetView>
  </sheetViews>
  <sheetFormatPr baseColWidth="10" defaultColWidth="11.42578125" defaultRowHeight="15" x14ac:dyDescent="0.25"/>
  <cols>
    <col min="2" max="2" width="19.85546875" bestFit="1" customWidth="1"/>
    <col min="3" max="4" width="8.42578125" customWidth="1"/>
    <col min="5" max="5" width="8.5703125" customWidth="1"/>
    <col min="6" max="6" width="5.7109375" style="37" customWidth="1"/>
    <col min="7" max="7" width="7.5703125" customWidth="1"/>
    <col min="8" max="8" width="7.7109375" customWidth="1"/>
    <col min="9" max="9" width="9.28515625" customWidth="1"/>
    <col min="10" max="10" width="8.85546875" customWidth="1"/>
    <col min="11" max="11" width="7.140625" customWidth="1"/>
    <col min="12" max="12" width="11.7109375" customWidth="1"/>
    <col min="14" max="14" width="23.7109375" customWidth="1"/>
  </cols>
  <sheetData>
    <row r="1" spans="1:12" ht="6" customHeight="1" x14ac:dyDescent="0.25"/>
    <row r="2" spans="1:12" ht="6" customHeight="1" x14ac:dyDescent="0.25"/>
    <row r="3" spans="1:12" ht="6.75" customHeight="1" x14ac:dyDescent="0.25"/>
    <row r="4" spans="1:12" ht="37.5" customHeight="1" x14ac:dyDescent="0.25">
      <c r="B4" s="396" t="s">
        <v>82</v>
      </c>
      <c r="C4" s="397"/>
      <c r="D4" s="397"/>
      <c r="E4" s="397"/>
      <c r="F4" s="397"/>
      <c r="G4" s="397"/>
      <c r="H4" s="397"/>
      <c r="I4" s="397"/>
      <c r="J4" s="397"/>
      <c r="K4" s="397"/>
      <c r="L4" s="397"/>
    </row>
    <row r="5" spans="1:12" ht="2.25" customHeight="1" thickBot="1" x14ac:dyDescent="0.3"/>
    <row r="6" spans="1:12" ht="24.75" customHeight="1" thickBot="1" x14ac:dyDescent="0.3">
      <c r="B6" s="390" t="s">
        <v>34</v>
      </c>
      <c r="C6" s="390" t="s">
        <v>35</v>
      </c>
      <c r="D6" s="398" t="s">
        <v>33</v>
      </c>
      <c r="E6" s="398"/>
      <c r="F6" s="478" t="s">
        <v>27</v>
      </c>
      <c r="G6" s="388" t="s">
        <v>28</v>
      </c>
      <c r="H6" s="388" t="s">
        <v>29</v>
      </c>
      <c r="I6" s="388" t="s">
        <v>30</v>
      </c>
      <c r="J6" s="388" t="s">
        <v>31</v>
      </c>
      <c r="K6" s="388" t="s">
        <v>25</v>
      </c>
      <c r="L6" s="388" t="s">
        <v>32</v>
      </c>
    </row>
    <row r="7" spans="1:12" ht="24.75" customHeight="1" thickBot="1" x14ac:dyDescent="0.3">
      <c r="B7" s="391"/>
      <c r="C7" s="391"/>
      <c r="D7" s="19" t="s">
        <v>60</v>
      </c>
      <c r="E7" s="18" t="s">
        <v>61</v>
      </c>
      <c r="F7" s="479"/>
      <c r="G7" s="389"/>
      <c r="H7" s="389"/>
      <c r="I7" s="389"/>
      <c r="J7" s="389"/>
      <c r="K7" s="389"/>
      <c r="L7" s="389"/>
    </row>
    <row r="8" spans="1:12" ht="3" customHeight="1" thickBot="1" x14ac:dyDescent="0.3"/>
    <row r="9" spans="1:12" ht="35.25" customHeight="1" thickBot="1" x14ac:dyDescent="0.3">
      <c r="B9" s="4" t="s">
        <v>306</v>
      </c>
      <c r="F9" s="38">
        <v>2500</v>
      </c>
      <c r="G9" s="38">
        <v>2500</v>
      </c>
      <c r="H9" s="38">
        <v>2500</v>
      </c>
      <c r="I9" s="38">
        <v>2500</v>
      </c>
      <c r="J9" s="38">
        <v>2500</v>
      </c>
      <c r="K9" s="38">
        <v>2500</v>
      </c>
      <c r="L9" s="38">
        <v>2500</v>
      </c>
    </row>
    <row r="10" spans="1:12" ht="24.75" thickBot="1" x14ac:dyDescent="0.3">
      <c r="A10" t="s">
        <v>84</v>
      </c>
      <c r="B10" s="4" t="s">
        <v>304</v>
      </c>
      <c r="C10" s="4" t="s">
        <v>64</v>
      </c>
      <c r="D10" s="4" t="s">
        <v>62</v>
      </c>
      <c r="E10" s="4" t="s">
        <v>63</v>
      </c>
      <c r="F10" s="38">
        <f>3.4*1000</f>
        <v>3400</v>
      </c>
      <c r="G10" s="27">
        <f>2.25*1000</f>
        <v>2250</v>
      </c>
      <c r="H10" s="27">
        <f>3*1000</f>
        <v>3000</v>
      </c>
      <c r="I10" s="27">
        <f>2.7*1000</f>
        <v>2700</v>
      </c>
      <c r="J10" s="27">
        <f>2.26*1000</f>
        <v>2260</v>
      </c>
      <c r="K10" s="4">
        <v>263</v>
      </c>
      <c r="L10" s="4">
        <v>262</v>
      </c>
    </row>
    <row r="11" spans="1:12" ht="24.75" thickBot="1" x14ac:dyDescent="0.3">
      <c r="B11" s="4" t="s">
        <v>305</v>
      </c>
      <c r="C11" s="4" t="s">
        <v>64</v>
      </c>
      <c r="D11" s="4" t="s">
        <v>62</v>
      </c>
      <c r="E11" s="4" t="s">
        <v>63</v>
      </c>
      <c r="F11" s="38">
        <v>3540</v>
      </c>
      <c r="G11" s="27">
        <v>2350</v>
      </c>
      <c r="H11" s="27">
        <v>2060</v>
      </c>
      <c r="I11" s="27">
        <v>2670</v>
      </c>
      <c r="J11" s="27">
        <v>2360</v>
      </c>
      <c r="K11" s="4">
        <v>315</v>
      </c>
      <c r="L11" s="4">
        <v>309</v>
      </c>
    </row>
    <row r="12" spans="1:12" ht="24.75" thickBot="1" x14ac:dyDescent="0.3">
      <c r="B12" s="4" t="s">
        <v>307</v>
      </c>
      <c r="C12" s="4"/>
      <c r="D12" s="4"/>
      <c r="E12" s="4"/>
      <c r="F12" s="38">
        <v>5000</v>
      </c>
      <c r="G12" s="38">
        <v>5000</v>
      </c>
      <c r="H12" s="38">
        <v>5000</v>
      </c>
      <c r="I12" s="38">
        <v>5000</v>
      </c>
      <c r="J12" s="38">
        <v>5000</v>
      </c>
      <c r="K12" s="38">
        <v>5000</v>
      </c>
      <c r="L12" s="38">
        <v>5000</v>
      </c>
    </row>
    <row r="13" spans="1:12" ht="11.45" customHeight="1" thickBot="1" x14ac:dyDescent="0.3">
      <c r="B13" s="12"/>
      <c r="C13" s="12"/>
      <c r="D13" s="12"/>
      <c r="E13" s="12"/>
      <c r="F13" s="74"/>
      <c r="G13" s="75"/>
      <c r="H13" s="75"/>
      <c r="I13" s="75"/>
      <c r="J13" s="75"/>
      <c r="K13" s="12"/>
      <c r="L13" s="12"/>
    </row>
    <row r="14" spans="1:12" ht="11.45" customHeight="1" thickBot="1" x14ac:dyDescent="0.3">
      <c r="B14" s="4" t="s">
        <v>310</v>
      </c>
      <c r="C14" s="14" t="s">
        <v>37</v>
      </c>
      <c r="D14" s="12"/>
      <c r="E14" s="12"/>
      <c r="F14" s="39">
        <v>6.5</v>
      </c>
      <c r="G14" s="39">
        <v>6.5</v>
      </c>
      <c r="H14" s="39">
        <v>6.5</v>
      </c>
      <c r="I14" s="39">
        <v>6.5</v>
      </c>
      <c r="J14" s="39">
        <v>6.5</v>
      </c>
      <c r="K14" s="39">
        <v>6.5</v>
      </c>
      <c r="L14" s="39">
        <v>6.5</v>
      </c>
    </row>
    <row r="15" spans="1:12" ht="15.75" thickBot="1" x14ac:dyDescent="0.3">
      <c r="B15" s="4" t="s">
        <v>308</v>
      </c>
      <c r="C15" s="14" t="s">
        <v>37</v>
      </c>
      <c r="D15" s="14" t="s">
        <v>65</v>
      </c>
      <c r="E15" s="4" t="s">
        <v>66</v>
      </c>
      <c r="F15" s="72">
        <v>8.3829999999999991</v>
      </c>
      <c r="G15" s="66">
        <v>8.26</v>
      </c>
      <c r="H15" s="66">
        <v>7.9619999999999997</v>
      </c>
      <c r="I15" s="66">
        <v>7.944</v>
      </c>
      <c r="J15" s="66">
        <v>7.9829999999999997</v>
      </c>
      <c r="K15" s="66">
        <v>8.4410000000000007</v>
      </c>
      <c r="L15" s="66">
        <v>8.2530000000000001</v>
      </c>
    </row>
    <row r="16" spans="1:12" ht="15.75" thickBot="1" x14ac:dyDescent="0.3">
      <c r="B16" s="4" t="s">
        <v>309</v>
      </c>
      <c r="C16" s="14"/>
      <c r="D16" s="14"/>
      <c r="E16" s="4"/>
      <c r="F16" s="72">
        <v>7.23</v>
      </c>
      <c r="G16" s="66">
        <v>7.2</v>
      </c>
      <c r="H16" s="66">
        <v>7.29</v>
      </c>
      <c r="I16" s="66">
        <v>7.29</v>
      </c>
      <c r="J16" s="66">
        <v>7.34</v>
      </c>
      <c r="K16" s="66">
        <v>7.01</v>
      </c>
      <c r="L16" s="66">
        <v>7.01</v>
      </c>
    </row>
    <row r="17" spans="2:24" ht="15.75" thickBot="1" x14ac:dyDescent="0.3">
      <c r="B17" s="4" t="s">
        <v>310</v>
      </c>
      <c r="C17" s="14"/>
      <c r="D17" s="14"/>
      <c r="E17" s="4"/>
      <c r="F17" s="39">
        <v>8.5</v>
      </c>
      <c r="G17" s="39">
        <v>8.5</v>
      </c>
      <c r="H17" s="39">
        <v>8.5</v>
      </c>
      <c r="I17" s="39">
        <v>8.5</v>
      </c>
      <c r="J17" s="39">
        <v>8.5</v>
      </c>
      <c r="K17" s="39">
        <v>8.5</v>
      </c>
      <c r="L17" s="39">
        <v>8.5</v>
      </c>
    </row>
    <row r="18" spans="2:24" ht="15.75" thickBot="1" x14ac:dyDescent="0.3">
      <c r="B18" s="12"/>
      <c r="C18" s="22"/>
      <c r="D18" s="22"/>
      <c r="E18" s="12"/>
      <c r="F18" s="41"/>
      <c r="G18" s="12"/>
      <c r="H18" s="12"/>
      <c r="I18" s="12"/>
      <c r="J18" s="12"/>
      <c r="K18" s="12"/>
      <c r="L18" s="12"/>
    </row>
    <row r="19" spans="2:24" ht="24.75" thickBot="1" x14ac:dyDescent="0.3">
      <c r="B19" s="4" t="s">
        <v>311</v>
      </c>
      <c r="C19" s="4" t="s">
        <v>24</v>
      </c>
      <c r="D19" s="14" t="s">
        <v>37</v>
      </c>
      <c r="E19" s="14" t="s">
        <v>37</v>
      </c>
      <c r="F19" s="40">
        <f>F10/2</f>
        <v>1700</v>
      </c>
      <c r="G19" s="40">
        <f t="shared" ref="G19:L19" si="0">G10/2</f>
        <v>1125</v>
      </c>
      <c r="H19" s="40">
        <f t="shared" si="0"/>
        <v>1500</v>
      </c>
      <c r="I19" s="40">
        <f t="shared" si="0"/>
        <v>1350</v>
      </c>
      <c r="J19" s="40">
        <f t="shared" si="0"/>
        <v>1130</v>
      </c>
      <c r="K19" s="40">
        <f t="shared" si="0"/>
        <v>131.5</v>
      </c>
      <c r="L19" s="40">
        <f t="shared" si="0"/>
        <v>131</v>
      </c>
    </row>
    <row r="20" spans="2:24" ht="24.75" thickBot="1" x14ac:dyDescent="0.3">
      <c r="B20" s="4" t="s">
        <v>312</v>
      </c>
      <c r="C20" s="4"/>
      <c r="D20" s="14"/>
      <c r="E20" s="14"/>
      <c r="F20" s="40">
        <v>1167</v>
      </c>
      <c r="G20" s="40">
        <v>1151</v>
      </c>
      <c r="H20" s="40">
        <v>1524</v>
      </c>
      <c r="I20" s="40">
        <v>1318</v>
      </c>
      <c r="J20" s="40">
        <v>1160</v>
      </c>
      <c r="K20" s="40">
        <v>156.4</v>
      </c>
      <c r="L20" s="40">
        <v>156.5</v>
      </c>
    </row>
    <row r="21" spans="2:24" ht="15.75" thickBot="1" x14ac:dyDescent="0.3">
      <c r="B21" s="12"/>
      <c r="C21" s="12"/>
      <c r="D21" s="22"/>
      <c r="E21" s="22"/>
      <c r="F21" s="76"/>
      <c r="G21" s="12"/>
      <c r="H21" s="12"/>
      <c r="I21" s="12"/>
      <c r="J21" s="12"/>
      <c r="K21" s="12"/>
      <c r="L21" s="12"/>
    </row>
    <row r="22" spans="2:24" ht="15.75" thickBot="1" x14ac:dyDescent="0.3">
      <c r="B22" s="4" t="s">
        <v>313</v>
      </c>
      <c r="C22" s="4" t="s">
        <v>40</v>
      </c>
      <c r="D22" s="14" t="s">
        <v>37</v>
      </c>
      <c r="E22" s="14" t="s">
        <v>37</v>
      </c>
      <c r="F22" s="39">
        <v>26.5</v>
      </c>
      <c r="G22" s="4">
        <v>26.1</v>
      </c>
      <c r="H22" s="4">
        <v>25.7</v>
      </c>
      <c r="I22" s="4">
        <v>25.9</v>
      </c>
      <c r="J22" s="4">
        <v>25.9</v>
      </c>
      <c r="K22" s="4">
        <v>24.9</v>
      </c>
      <c r="L22" s="4">
        <v>23.6</v>
      </c>
    </row>
    <row r="23" spans="2:24" ht="15.75" thickBot="1" x14ac:dyDescent="0.3">
      <c r="B23" s="4" t="s">
        <v>314</v>
      </c>
      <c r="C23" s="73"/>
      <c r="D23" s="36"/>
      <c r="E23" s="36"/>
      <c r="F23" s="69">
        <v>27</v>
      </c>
      <c r="G23" s="69">
        <v>26.3</v>
      </c>
      <c r="H23" s="69">
        <v>26.7</v>
      </c>
      <c r="I23" s="69">
        <v>26.7</v>
      </c>
      <c r="J23" s="69">
        <v>26.6</v>
      </c>
      <c r="K23" s="69">
        <v>23.2</v>
      </c>
      <c r="L23" s="28">
        <v>22.7</v>
      </c>
    </row>
    <row r="24" spans="2:24" ht="21.75" customHeight="1" x14ac:dyDescent="0.25"/>
    <row r="25" spans="2:24" ht="33.75" customHeight="1" x14ac:dyDescent="0.25">
      <c r="B25" s="396" t="s">
        <v>83</v>
      </c>
      <c r="C25" s="397"/>
      <c r="D25" s="397"/>
      <c r="E25" s="397"/>
      <c r="F25" s="397"/>
      <c r="G25" s="397"/>
      <c r="H25" s="397"/>
      <c r="I25" s="397"/>
      <c r="J25" s="397"/>
      <c r="K25" s="397"/>
      <c r="L25" s="397"/>
      <c r="N25" s="396" t="s">
        <v>36</v>
      </c>
      <c r="O25" s="397"/>
      <c r="P25" s="397"/>
      <c r="Q25" s="397"/>
      <c r="R25" s="397"/>
      <c r="S25" s="397"/>
      <c r="T25" s="397"/>
      <c r="U25" s="397"/>
      <c r="V25" s="397"/>
      <c r="W25" s="397"/>
      <c r="X25" s="397"/>
    </row>
    <row r="26" spans="2:24" ht="2.25" customHeight="1" thickBot="1" x14ac:dyDescent="0.3"/>
    <row r="27" spans="2:24" ht="24.75" customHeight="1" thickBot="1" x14ac:dyDescent="0.3">
      <c r="B27" s="390" t="s">
        <v>34</v>
      </c>
      <c r="C27" s="390" t="s">
        <v>35</v>
      </c>
      <c r="D27" s="398" t="s">
        <v>33</v>
      </c>
      <c r="E27" s="398"/>
      <c r="N27" s="390" t="s">
        <v>34</v>
      </c>
      <c r="O27" s="390" t="s">
        <v>35</v>
      </c>
      <c r="P27" s="398" t="s">
        <v>33</v>
      </c>
      <c r="Q27" s="398"/>
      <c r="R27" s="25" t="s">
        <v>73</v>
      </c>
      <c r="S27" s="25" t="s">
        <v>74</v>
      </c>
      <c r="T27" s="25" t="s">
        <v>75</v>
      </c>
      <c r="U27" s="25" t="s">
        <v>76</v>
      </c>
      <c r="V27" s="25" t="s">
        <v>77</v>
      </c>
      <c r="W27" s="25" t="s">
        <v>78</v>
      </c>
      <c r="X27" s="25" t="s">
        <v>79</v>
      </c>
    </row>
    <row r="28" spans="2:24" ht="24.75" customHeight="1" thickBot="1" x14ac:dyDescent="0.3">
      <c r="B28" s="391"/>
      <c r="C28" s="391"/>
      <c r="D28" s="19" t="s">
        <v>60</v>
      </c>
      <c r="E28" s="18" t="s">
        <v>61</v>
      </c>
      <c r="F28" s="45" t="s">
        <v>27</v>
      </c>
      <c r="G28" s="30" t="s">
        <v>28</v>
      </c>
      <c r="H28" s="30" t="s">
        <v>29</v>
      </c>
      <c r="I28" s="30" t="s">
        <v>30</v>
      </c>
      <c r="J28" s="30" t="s">
        <v>31</v>
      </c>
      <c r="K28" s="30" t="s">
        <v>25</v>
      </c>
      <c r="L28" s="30" t="s">
        <v>32</v>
      </c>
      <c r="N28" s="391"/>
      <c r="O28" s="391"/>
      <c r="P28" s="19" t="s">
        <v>60</v>
      </c>
      <c r="Q28" s="18" t="s">
        <v>61</v>
      </c>
      <c r="R28" s="24" t="s">
        <v>27</v>
      </c>
      <c r="S28" s="24" t="s">
        <v>28</v>
      </c>
      <c r="T28" s="24" t="s">
        <v>29</v>
      </c>
      <c r="U28" s="24" t="s">
        <v>30</v>
      </c>
      <c r="V28" s="24" t="s">
        <v>31</v>
      </c>
      <c r="W28" s="24" t="s">
        <v>25</v>
      </c>
      <c r="X28" s="24" t="s">
        <v>32</v>
      </c>
    </row>
    <row r="29" spans="2:24" ht="15.75" thickBot="1" x14ac:dyDescent="0.3">
      <c r="B29" s="4" t="s">
        <v>86</v>
      </c>
      <c r="C29" s="4" t="s">
        <v>53</v>
      </c>
      <c r="D29" s="14" t="s">
        <v>37</v>
      </c>
      <c r="E29" s="14" t="s">
        <v>37</v>
      </c>
      <c r="F29" s="72">
        <v>61.9</v>
      </c>
      <c r="G29" s="66">
        <v>19.8</v>
      </c>
      <c r="H29" s="66">
        <v>31.6</v>
      </c>
      <c r="I29" s="66">
        <v>33.1</v>
      </c>
      <c r="J29" s="66">
        <v>57.2</v>
      </c>
      <c r="K29" s="70">
        <v>405</v>
      </c>
      <c r="L29" s="70">
        <v>433</v>
      </c>
    </row>
    <row r="30" spans="2:24" ht="15.75" thickBot="1" x14ac:dyDescent="0.3">
      <c r="B30" s="4" t="s">
        <v>85</v>
      </c>
      <c r="C30" s="4" t="s">
        <v>53</v>
      </c>
      <c r="D30" s="14" t="s">
        <v>37</v>
      </c>
      <c r="E30" s="14" t="s">
        <v>37</v>
      </c>
      <c r="F30" s="72">
        <v>8.4499999999999993</v>
      </c>
      <c r="G30" s="66">
        <v>9.59</v>
      </c>
      <c r="H30" s="66">
        <v>10.199999999999999</v>
      </c>
      <c r="I30" s="66">
        <v>15.1</v>
      </c>
      <c r="J30" s="66">
        <v>25.6</v>
      </c>
      <c r="K30" s="70">
        <v>190</v>
      </c>
      <c r="L30" s="70">
        <v>232</v>
      </c>
    </row>
    <row r="31" spans="2:24" ht="15.75" thickBot="1" x14ac:dyDescent="0.3">
      <c r="B31" s="4" t="s">
        <v>302</v>
      </c>
      <c r="C31" s="4" t="s">
        <v>53</v>
      </c>
      <c r="D31" s="14" t="s">
        <v>37</v>
      </c>
      <c r="E31" s="14" t="s">
        <v>37</v>
      </c>
      <c r="F31" s="72">
        <v>13.1</v>
      </c>
      <c r="G31" s="66">
        <v>15</v>
      </c>
      <c r="H31" s="66">
        <v>11.5</v>
      </c>
      <c r="I31" s="66">
        <v>19.100000000000001</v>
      </c>
      <c r="J31" s="66">
        <v>29.1</v>
      </c>
      <c r="K31" s="70">
        <v>129</v>
      </c>
      <c r="L31" s="70">
        <v>104</v>
      </c>
      <c r="N31" s="4"/>
      <c r="O31" s="4"/>
      <c r="P31" s="14"/>
      <c r="Q31" s="14"/>
      <c r="R31" s="4"/>
      <c r="S31" s="4"/>
      <c r="T31" s="4"/>
      <c r="U31" s="4"/>
      <c r="V31" s="4"/>
      <c r="W31" s="4"/>
      <c r="X31" s="4"/>
    </row>
    <row r="32" spans="2:24" ht="3" customHeight="1" thickBot="1" x14ac:dyDescent="0.3">
      <c r="B32" s="4"/>
      <c r="C32" s="4"/>
      <c r="D32" s="14"/>
      <c r="E32" s="14"/>
      <c r="F32" s="39"/>
      <c r="G32" s="4"/>
      <c r="H32" s="4"/>
      <c r="I32" s="4"/>
      <c r="J32" s="4"/>
      <c r="K32" s="4"/>
      <c r="L32" s="4"/>
      <c r="N32" s="4"/>
      <c r="O32" s="4"/>
      <c r="P32" s="14"/>
      <c r="Q32" s="14"/>
      <c r="R32" s="4"/>
      <c r="S32" s="4"/>
      <c r="T32" s="4"/>
      <c r="U32" s="4"/>
      <c r="V32" s="4"/>
      <c r="W32" s="4"/>
      <c r="X32" s="4"/>
    </row>
    <row r="33" spans="2:24" ht="24.75" thickBot="1" x14ac:dyDescent="0.3">
      <c r="B33" s="4" t="s">
        <v>87</v>
      </c>
      <c r="C33" s="4" t="s">
        <v>54</v>
      </c>
      <c r="D33" s="4" t="s">
        <v>59</v>
      </c>
      <c r="E33" s="4" t="s">
        <v>59</v>
      </c>
      <c r="F33" s="39">
        <f>70*2</f>
        <v>140</v>
      </c>
      <c r="G33" s="4">
        <f>54*2</f>
        <v>108</v>
      </c>
      <c r="H33" s="4">
        <f>59*2</f>
        <v>118</v>
      </c>
      <c r="I33" s="4">
        <f>60*4</f>
        <v>240</v>
      </c>
      <c r="J33" s="4">
        <f>50*2</f>
        <v>100</v>
      </c>
      <c r="K33" s="4">
        <f>37*2</f>
        <v>74</v>
      </c>
      <c r="L33" s="4">
        <f>33*2</f>
        <v>66</v>
      </c>
      <c r="M33" s="4" t="s">
        <v>89</v>
      </c>
    </row>
    <row r="34" spans="2:24" ht="24.75" thickBot="1" x14ac:dyDescent="0.3">
      <c r="B34" s="4" t="s">
        <v>88</v>
      </c>
      <c r="C34" s="4" t="s">
        <v>54</v>
      </c>
      <c r="D34" s="4" t="s">
        <v>59</v>
      </c>
      <c r="E34" s="4" t="s">
        <v>59</v>
      </c>
      <c r="F34" s="39">
        <v>140</v>
      </c>
      <c r="G34" s="4">
        <v>132</v>
      </c>
      <c r="H34" s="4">
        <v>138</v>
      </c>
      <c r="I34" s="4">
        <v>136</v>
      </c>
      <c r="J34" s="4">
        <v>134</v>
      </c>
      <c r="K34" s="4">
        <v>65</v>
      </c>
      <c r="L34" s="4">
        <v>62</v>
      </c>
      <c r="M34" s="31">
        <v>1000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2:24" ht="15.75" thickBot="1" x14ac:dyDescent="0.3">
      <c r="B35" s="4" t="s">
        <v>303</v>
      </c>
      <c r="C35" s="4" t="s">
        <v>54</v>
      </c>
      <c r="D35" s="4" t="s">
        <v>59</v>
      </c>
      <c r="E35" s="4" t="s">
        <v>59</v>
      </c>
      <c r="F35" s="4">
        <f>66*3</f>
        <v>198</v>
      </c>
      <c r="G35" s="4">
        <f>37*3</f>
        <v>111</v>
      </c>
      <c r="H35" s="4">
        <f>64*3</f>
        <v>192</v>
      </c>
      <c r="I35" s="4">
        <f>71*3</f>
        <v>213</v>
      </c>
      <c r="J35" s="4">
        <f>63*3</f>
        <v>189</v>
      </c>
      <c r="K35" s="4">
        <f>28*3</f>
        <v>84</v>
      </c>
      <c r="L35" s="4">
        <f>29*3</f>
        <v>87</v>
      </c>
      <c r="M35" s="73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2:24" ht="15.75" thickBot="1" x14ac:dyDescent="0.3">
      <c r="B36" s="4" t="str">
        <f>M33</f>
        <v xml:space="preserve">LMP-DS N° 004-2017 </v>
      </c>
      <c r="C36" s="4" t="s">
        <v>54</v>
      </c>
      <c r="D36" s="4"/>
      <c r="E36" s="4"/>
      <c r="F36" s="39">
        <f>$M$34</f>
        <v>1000</v>
      </c>
      <c r="G36" s="4">
        <f t="shared" ref="G36:L36" si="1">$M$34</f>
        <v>1000</v>
      </c>
      <c r="H36" s="4">
        <f t="shared" si="1"/>
        <v>1000</v>
      </c>
      <c r="I36" s="4">
        <f t="shared" si="1"/>
        <v>1000</v>
      </c>
      <c r="J36" s="4">
        <f t="shared" si="1"/>
        <v>1000</v>
      </c>
      <c r="K36" s="4">
        <f t="shared" si="1"/>
        <v>1000</v>
      </c>
      <c r="L36" s="4">
        <f t="shared" si="1"/>
        <v>1000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2:24" ht="3.6" customHeight="1" thickBot="1" x14ac:dyDescent="0.3">
      <c r="B37" s="12"/>
      <c r="C37" s="12"/>
      <c r="D37" s="12"/>
      <c r="E37" s="12"/>
      <c r="F37" s="41"/>
      <c r="G37" s="12"/>
      <c r="H37" s="12"/>
      <c r="I37" s="12"/>
      <c r="J37" s="12"/>
      <c r="K37" s="12"/>
      <c r="L37" s="12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spans="2:24" ht="15.75" thickBot="1" x14ac:dyDescent="0.3">
      <c r="B38" s="4" t="s">
        <v>90</v>
      </c>
      <c r="C38" s="4" t="s">
        <v>54</v>
      </c>
      <c r="D38" s="4">
        <v>500</v>
      </c>
      <c r="E38" s="14" t="s">
        <v>37</v>
      </c>
      <c r="F38" s="42">
        <f>97.6</f>
        <v>97.6</v>
      </c>
      <c r="G38" s="5">
        <f>69.8</f>
        <v>69.8</v>
      </c>
      <c r="H38" s="5">
        <v>90.7</v>
      </c>
      <c r="I38" s="5">
        <v>85.7</v>
      </c>
      <c r="J38" s="5">
        <v>63</v>
      </c>
      <c r="K38" s="5">
        <f>14.3</f>
        <v>14.3</v>
      </c>
      <c r="L38" s="5">
        <f>11.7</f>
        <v>11.7</v>
      </c>
    </row>
    <row r="39" spans="2:24" ht="15.75" thickBot="1" x14ac:dyDescent="0.3">
      <c r="B39" s="4" t="s">
        <v>91</v>
      </c>
      <c r="C39" s="4" t="s">
        <v>54</v>
      </c>
      <c r="D39" s="4">
        <v>500</v>
      </c>
      <c r="E39" s="14" t="s">
        <v>37</v>
      </c>
      <c r="F39" s="39">
        <v>5.9</v>
      </c>
      <c r="G39" s="4">
        <v>6.9</v>
      </c>
      <c r="H39" s="4">
        <v>3.3</v>
      </c>
      <c r="I39" s="4">
        <v>5.6</v>
      </c>
      <c r="J39" s="4">
        <v>7.9</v>
      </c>
      <c r="K39" s="4">
        <v>4.3</v>
      </c>
      <c r="L39" s="4">
        <v>4.4000000000000004</v>
      </c>
      <c r="N39" s="4"/>
      <c r="O39" s="4"/>
      <c r="P39" s="4"/>
      <c r="Q39" s="14"/>
      <c r="R39" s="4"/>
      <c r="S39" s="4"/>
      <c r="T39" s="4"/>
      <c r="U39" s="4"/>
      <c r="V39" s="4"/>
      <c r="W39" s="4"/>
      <c r="X39" s="4"/>
    </row>
    <row r="40" spans="2:24" ht="15.75" thickBot="1" x14ac:dyDescent="0.3">
      <c r="B40" s="4" t="s">
        <v>315</v>
      </c>
      <c r="C40" s="4" t="s">
        <v>54</v>
      </c>
      <c r="D40" s="4">
        <v>500</v>
      </c>
      <c r="E40" s="14" t="s">
        <v>37</v>
      </c>
      <c r="F40" s="39">
        <v>52.800000000000004</v>
      </c>
      <c r="G40" s="4">
        <v>51.900000000000006</v>
      </c>
      <c r="H40" s="4">
        <f>15*3</f>
        <v>45</v>
      </c>
      <c r="I40" s="4">
        <v>23.700000000000003</v>
      </c>
      <c r="J40" s="4">
        <v>30.900000000000002</v>
      </c>
      <c r="K40" s="4">
        <v>7.5</v>
      </c>
      <c r="L40" s="4">
        <v>13.5</v>
      </c>
      <c r="N40" s="4"/>
      <c r="O40" s="4"/>
      <c r="P40" s="4"/>
      <c r="Q40" s="14"/>
      <c r="R40" s="4"/>
      <c r="S40" s="4"/>
      <c r="T40" s="4"/>
      <c r="U40" s="4"/>
      <c r="V40" s="4"/>
      <c r="W40" s="4"/>
      <c r="X40" s="4"/>
    </row>
    <row r="41" spans="2:24" ht="15.75" thickBot="1" x14ac:dyDescent="0.3">
      <c r="B41" s="4" t="s">
        <v>89</v>
      </c>
      <c r="C41" s="4" t="s">
        <v>54</v>
      </c>
      <c r="D41" s="4">
        <f>500</f>
        <v>500</v>
      </c>
      <c r="E41" s="14"/>
      <c r="F41" s="39">
        <f>$D$39</f>
        <v>500</v>
      </c>
      <c r="G41" s="4">
        <f t="shared" ref="G41:L41" si="2">$D$39</f>
        <v>500</v>
      </c>
      <c r="H41" s="4">
        <f t="shared" si="2"/>
        <v>500</v>
      </c>
      <c r="I41" s="4">
        <f t="shared" si="2"/>
        <v>500</v>
      </c>
      <c r="J41" s="4">
        <f t="shared" si="2"/>
        <v>500</v>
      </c>
      <c r="K41" s="4">
        <f t="shared" si="2"/>
        <v>500</v>
      </c>
      <c r="L41" s="4">
        <f t="shared" si="2"/>
        <v>500</v>
      </c>
      <c r="N41" s="4"/>
      <c r="O41" s="4"/>
      <c r="P41" s="4"/>
      <c r="Q41" s="14"/>
      <c r="R41" s="4"/>
      <c r="S41" s="4"/>
      <c r="T41" s="4"/>
      <c r="U41" s="4"/>
      <c r="V41" s="4"/>
      <c r="W41" s="4"/>
      <c r="X41" s="4"/>
    </row>
    <row r="42" spans="2:24" ht="6" customHeight="1" thickBot="1" x14ac:dyDescent="0.3">
      <c r="B42" s="12"/>
      <c r="C42" s="12"/>
      <c r="D42" s="12"/>
      <c r="E42" s="22"/>
      <c r="F42" s="41"/>
      <c r="G42" s="12"/>
      <c r="H42" s="12"/>
      <c r="I42" s="12"/>
      <c r="J42" s="12"/>
      <c r="K42" s="12"/>
      <c r="L42" s="12"/>
      <c r="N42" s="12"/>
      <c r="O42" s="12"/>
      <c r="P42" s="12"/>
      <c r="Q42" s="22"/>
      <c r="R42" s="12"/>
      <c r="S42" s="12"/>
      <c r="T42" s="12"/>
      <c r="U42" s="12"/>
      <c r="V42" s="12"/>
      <c r="W42" s="12"/>
      <c r="X42" s="12"/>
    </row>
    <row r="43" spans="2:24" ht="15.75" thickBot="1" x14ac:dyDescent="0.3">
      <c r="B43" s="4" t="s">
        <v>118</v>
      </c>
      <c r="C43" s="4" t="s">
        <v>54</v>
      </c>
      <c r="D43" s="4">
        <v>100</v>
      </c>
      <c r="E43" s="4">
        <v>100</v>
      </c>
      <c r="F43" s="39">
        <v>6.8</v>
      </c>
      <c r="G43" s="4">
        <v>5.5</v>
      </c>
      <c r="H43" s="28">
        <v>5</v>
      </c>
      <c r="I43" s="4">
        <v>4.2</v>
      </c>
      <c r="J43" s="4">
        <v>3.1</v>
      </c>
      <c r="K43" s="4">
        <v>0.7</v>
      </c>
      <c r="L43" s="28">
        <v>1</v>
      </c>
    </row>
    <row r="44" spans="2:24" ht="15.75" thickBot="1" x14ac:dyDescent="0.3">
      <c r="B44" s="4" t="s">
        <v>117</v>
      </c>
      <c r="C44" s="4" t="s">
        <v>54</v>
      </c>
      <c r="D44" s="4">
        <v>100</v>
      </c>
      <c r="E44" s="4">
        <v>100</v>
      </c>
      <c r="F44" s="39">
        <v>5.4</v>
      </c>
      <c r="G44" s="4">
        <v>6.5</v>
      </c>
      <c r="H44" s="4">
        <v>5.6</v>
      </c>
      <c r="I44" s="4">
        <v>5.2</v>
      </c>
      <c r="J44" s="4">
        <v>6.5</v>
      </c>
      <c r="K44" s="4">
        <v>3.4</v>
      </c>
      <c r="L44" s="4">
        <v>4.5999999999999996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2:24" ht="15.75" thickBot="1" x14ac:dyDescent="0.3">
      <c r="B45" s="4" t="s">
        <v>316</v>
      </c>
      <c r="C45" s="4" t="s">
        <v>54</v>
      </c>
      <c r="D45" s="4">
        <v>100</v>
      </c>
      <c r="E45" s="4"/>
      <c r="F45" s="39">
        <v>9.8000000000000007</v>
      </c>
      <c r="G45" s="28">
        <v>7</v>
      </c>
      <c r="H45" s="4">
        <v>5.7</v>
      </c>
      <c r="I45" s="28">
        <v>2</v>
      </c>
      <c r="J45" s="4">
        <v>4.8</v>
      </c>
      <c r="K45" s="4">
        <v>2.6</v>
      </c>
      <c r="L45" s="4">
        <v>1.5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2:24" ht="15.75" thickBot="1" x14ac:dyDescent="0.3">
      <c r="B46" s="4" t="s">
        <v>89</v>
      </c>
      <c r="C46" s="4"/>
      <c r="D46" s="4"/>
      <c r="E46" s="4">
        <v>100</v>
      </c>
      <c r="F46" s="39">
        <v>100</v>
      </c>
      <c r="G46" s="4">
        <v>100</v>
      </c>
      <c r="H46" s="4">
        <v>100</v>
      </c>
      <c r="I46" s="4">
        <v>100</v>
      </c>
      <c r="J46" s="4">
        <v>100</v>
      </c>
      <c r="K46" s="4">
        <v>100</v>
      </c>
      <c r="L46" s="4">
        <v>100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2:24" ht="15.75" thickBot="1" x14ac:dyDescent="0.3">
      <c r="B47" s="12"/>
      <c r="C47" s="12"/>
      <c r="D47" s="12"/>
      <c r="E47" s="12"/>
      <c r="F47" s="41"/>
      <c r="G47" s="12"/>
      <c r="H47" s="12"/>
      <c r="I47" s="12"/>
      <c r="J47" s="12"/>
      <c r="K47" s="12"/>
      <c r="L47" s="12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spans="2:24" ht="24.75" thickBot="1" x14ac:dyDescent="0.3">
      <c r="B48" s="4" t="s">
        <v>119</v>
      </c>
      <c r="C48" s="4" t="s">
        <v>54</v>
      </c>
      <c r="D48" s="4" t="s">
        <v>67</v>
      </c>
      <c r="E48" s="4" t="s">
        <v>67</v>
      </c>
      <c r="F48" s="39">
        <v>0.1</v>
      </c>
      <c r="G48" s="4">
        <v>0.2</v>
      </c>
      <c r="H48" s="29">
        <v>0.3</v>
      </c>
      <c r="I48" s="29">
        <v>0.4</v>
      </c>
      <c r="J48" s="4">
        <v>0.2</v>
      </c>
      <c r="K48" s="29">
        <v>0.8</v>
      </c>
      <c r="L48" s="29">
        <v>0.8</v>
      </c>
    </row>
    <row r="49" spans="2:24" ht="24.75" thickBot="1" x14ac:dyDescent="0.3">
      <c r="B49" s="4" t="s">
        <v>120</v>
      </c>
      <c r="C49" s="4" t="s">
        <v>54</v>
      </c>
      <c r="D49" s="4" t="s">
        <v>67</v>
      </c>
      <c r="E49" s="4" t="s">
        <v>67</v>
      </c>
      <c r="F49" s="43">
        <v>3.2</v>
      </c>
      <c r="G49" s="29">
        <v>3.3</v>
      </c>
      <c r="H49" s="29">
        <v>2.5</v>
      </c>
      <c r="I49" s="29">
        <v>1.5</v>
      </c>
      <c r="J49" s="29">
        <v>2</v>
      </c>
      <c r="K49" s="29">
        <v>2.2000000000000002</v>
      </c>
      <c r="L49" s="29">
        <v>2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2:24" ht="24.75" thickBot="1" x14ac:dyDescent="0.3">
      <c r="B50" s="4" t="s">
        <v>317</v>
      </c>
      <c r="C50" s="4" t="s">
        <v>54</v>
      </c>
      <c r="D50" s="4" t="s">
        <v>67</v>
      </c>
      <c r="E50" s="4" t="s">
        <v>67</v>
      </c>
      <c r="F50" s="43">
        <v>2.9</v>
      </c>
      <c r="G50" s="29">
        <v>2</v>
      </c>
      <c r="H50" s="29">
        <v>2.2999999999999998</v>
      </c>
      <c r="I50" s="29">
        <v>2.5</v>
      </c>
      <c r="J50" s="29">
        <v>2.8</v>
      </c>
      <c r="K50" s="29">
        <v>2.2000000000000002</v>
      </c>
      <c r="L50" s="29">
        <v>2.7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2:24" ht="15.75" thickBot="1" x14ac:dyDescent="0.3">
      <c r="B51" s="4" t="s">
        <v>89</v>
      </c>
      <c r="C51" s="4"/>
      <c r="D51" s="4"/>
      <c r="E51" s="4"/>
      <c r="F51" s="39">
        <v>0.2</v>
      </c>
      <c r="G51" s="4">
        <v>0.2</v>
      </c>
      <c r="H51" s="4">
        <v>0.2</v>
      </c>
      <c r="I51" s="4">
        <v>0.2</v>
      </c>
      <c r="J51" s="4">
        <v>0.2</v>
      </c>
      <c r="K51" s="4">
        <v>0.2</v>
      </c>
      <c r="L51" s="4">
        <v>0.2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2:24" ht="8.4499999999999993" customHeight="1" thickBot="1" x14ac:dyDescent="0.3">
      <c r="B52" s="12"/>
      <c r="C52" s="12"/>
      <c r="D52" s="12"/>
      <c r="E52" s="12"/>
      <c r="F52" s="41"/>
      <c r="G52" s="12"/>
      <c r="H52" s="35"/>
      <c r="I52" s="35"/>
      <c r="J52" s="12"/>
      <c r="K52" s="35"/>
      <c r="L52" s="35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spans="2:24" ht="15.75" thickBot="1" x14ac:dyDescent="0.3">
      <c r="B53" s="4" t="s">
        <v>121</v>
      </c>
      <c r="C53" s="4" t="s">
        <v>54</v>
      </c>
      <c r="D53" s="4">
        <v>5</v>
      </c>
      <c r="E53" s="14" t="s">
        <v>37</v>
      </c>
      <c r="F53" s="39">
        <v>0.10199999999999999</v>
      </c>
      <c r="G53" s="4">
        <v>0.09</v>
      </c>
      <c r="H53" s="4">
        <v>0.11</v>
      </c>
      <c r="I53" s="4">
        <v>0.108</v>
      </c>
      <c r="J53" s="4">
        <v>0.17399999999999999</v>
      </c>
      <c r="K53" s="4">
        <v>1.5760000000000001</v>
      </c>
      <c r="L53" s="4">
        <v>1.857</v>
      </c>
    </row>
    <row r="54" spans="2:24" ht="15.75" thickBot="1" x14ac:dyDescent="0.3">
      <c r="B54" s="4" t="s">
        <v>122</v>
      </c>
      <c r="C54" s="4" t="s">
        <v>54</v>
      </c>
      <c r="D54" s="4">
        <v>5</v>
      </c>
      <c r="E54" s="14" t="s">
        <v>37</v>
      </c>
      <c r="F54" s="39">
        <v>0.52200000000000002</v>
      </c>
      <c r="G54" s="4">
        <v>0.72799999999999998</v>
      </c>
      <c r="H54" s="4">
        <v>0.44900000000000001</v>
      </c>
      <c r="I54" s="4">
        <v>0.45300000000000001</v>
      </c>
      <c r="J54" s="4">
        <v>1.0189999999999999</v>
      </c>
      <c r="K54" s="4">
        <v>1.4</v>
      </c>
      <c r="L54" s="4">
        <v>1.4</v>
      </c>
      <c r="N54" s="4"/>
      <c r="O54" s="4"/>
      <c r="P54" s="4"/>
      <c r="Q54" s="14"/>
      <c r="R54" s="4"/>
      <c r="S54" s="4"/>
      <c r="T54" s="4"/>
      <c r="U54" s="4"/>
      <c r="V54" s="4"/>
      <c r="W54" s="4"/>
      <c r="X54" s="4"/>
    </row>
    <row r="55" spans="2:24" ht="15.75" thickBot="1" x14ac:dyDescent="0.3">
      <c r="B55" s="4" t="s">
        <v>318</v>
      </c>
      <c r="C55" s="4" t="s">
        <v>54</v>
      </c>
      <c r="D55" s="4">
        <v>5</v>
      </c>
      <c r="E55" s="14" t="s">
        <v>37</v>
      </c>
      <c r="F55" s="4">
        <v>3.7999999999999999E-2</v>
      </c>
      <c r="G55" s="4">
        <v>4.5999999999999999E-2</v>
      </c>
      <c r="H55" s="4">
        <v>4.3999999999999997E-2</v>
      </c>
      <c r="I55" s="4">
        <v>4.2999999999999997E-2</v>
      </c>
      <c r="J55" s="4">
        <v>5.0999999999999997E-2</v>
      </c>
      <c r="K55" s="4">
        <v>0.40600000000000003</v>
      </c>
      <c r="L55" s="4">
        <v>0.59</v>
      </c>
      <c r="N55" s="4"/>
      <c r="O55" s="4"/>
      <c r="P55" s="4"/>
      <c r="Q55" s="14"/>
      <c r="R55" s="4"/>
      <c r="S55" s="4"/>
      <c r="T55" s="4"/>
      <c r="U55" s="4"/>
      <c r="V55" s="4"/>
      <c r="W55" s="4"/>
      <c r="X55" s="4"/>
    </row>
    <row r="56" spans="2:24" ht="15.75" thickBot="1" x14ac:dyDescent="0.3">
      <c r="B56" s="4" t="s">
        <v>89</v>
      </c>
      <c r="C56" s="4"/>
      <c r="D56" s="4"/>
      <c r="E56" s="14"/>
      <c r="F56" s="39">
        <v>5</v>
      </c>
      <c r="G56" s="4">
        <v>5</v>
      </c>
      <c r="H56" s="4">
        <v>5</v>
      </c>
      <c r="I56" s="4">
        <v>5</v>
      </c>
      <c r="J56" s="4">
        <v>5</v>
      </c>
      <c r="K56" s="4">
        <v>5</v>
      </c>
      <c r="L56" s="4">
        <v>5</v>
      </c>
      <c r="N56" s="4"/>
      <c r="O56" s="4"/>
      <c r="P56" s="4"/>
      <c r="Q56" s="14"/>
      <c r="R56" s="4"/>
      <c r="S56" s="4"/>
      <c r="T56" s="4"/>
      <c r="U56" s="4"/>
      <c r="V56" s="4"/>
      <c r="W56" s="4"/>
      <c r="X56" s="4"/>
    </row>
    <row r="57" spans="2:24" ht="6" customHeight="1" thickBot="1" x14ac:dyDescent="0.3">
      <c r="B57" s="12"/>
      <c r="C57" s="12"/>
      <c r="D57" s="12"/>
      <c r="E57" s="22"/>
      <c r="F57" s="41"/>
      <c r="G57" s="12"/>
      <c r="H57" s="12"/>
      <c r="I57" s="12"/>
      <c r="J57" s="12"/>
      <c r="K57" s="12"/>
      <c r="L57" s="12"/>
      <c r="N57" s="12"/>
      <c r="O57" s="12"/>
      <c r="P57" s="12"/>
      <c r="Q57" s="22"/>
      <c r="R57" s="12"/>
      <c r="S57" s="12"/>
      <c r="T57" s="12"/>
      <c r="U57" s="12"/>
      <c r="V57" s="12"/>
      <c r="W57" s="12"/>
      <c r="X57" s="12"/>
    </row>
    <row r="58" spans="2:24" ht="15.75" thickBot="1" x14ac:dyDescent="0.3">
      <c r="B58" s="4" t="s">
        <v>123</v>
      </c>
      <c r="C58" s="4" t="s">
        <v>54</v>
      </c>
      <c r="D58" s="4" t="s">
        <v>67</v>
      </c>
      <c r="E58" s="4" t="s">
        <v>68</v>
      </c>
      <c r="F58" s="43">
        <v>1.53</v>
      </c>
      <c r="G58" s="29">
        <v>2.4700000000000002</v>
      </c>
      <c r="H58" s="29">
        <v>1.24</v>
      </c>
      <c r="I58" s="29">
        <v>1.3</v>
      </c>
      <c r="J58" s="29">
        <v>1.1100000000000001</v>
      </c>
      <c r="K58" s="4">
        <v>0.2</v>
      </c>
      <c r="L58" s="4">
        <v>0.47</v>
      </c>
    </row>
    <row r="59" spans="2:24" ht="15.75" thickBot="1" x14ac:dyDescent="0.3">
      <c r="B59" s="4" t="s">
        <v>124</v>
      </c>
      <c r="C59" s="4" t="s">
        <v>54</v>
      </c>
      <c r="D59" s="4" t="s">
        <v>67</v>
      </c>
      <c r="E59" s="4" t="s">
        <v>68</v>
      </c>
      <c r="F59" s="39">
        <v>0.84</v>
      </c>
      <c r="G59" s="4">
        <v>1.58</v>
      </c>
      <c r="H59" s="4">
        <v>1.08</v>
      </c>
      <c r="I59" s="4">
        <v>1.1100000000000001</v>
      </c>
      <c r="J59" s="4">
        <v>0.67</v>
      </c>
      <c r="K59" s="4">
        <v>0.33</v>
      </c>
      <c r="L59" s="4">
        <v>0.39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2:24" ht="15.75" thickBot="1" x14ac:dyDescent="0.3">
      <c r="B60" s="4" t="s">
        <v>319</v>
      </c>
      <c r="C60" s="4" t="s">
        <v>54</v>
      </c>
      <c r="D60" s="4" t="s">
        <v>67</v>
      </c>
      <c r="E60" s="4" t="s">
        <v>68</v>
      </c>
      <c r="F60" s="29">
        <v>3.71</v>
      </c>
      <c r="G60" s="29">
        <v>4.75</v>
      </c>
      <c r="H60" s="29">
        <v>4.07</v>
      </c>
      <c r="I60" s="29">
        <v>5.24</v>
      </c>
      <c r="J60" s="29">
        <v>3.01</v>
      </c>
      <c r="K60" s="4">
        <v>0.41</v>
      </c>
      <c r="L60" s="4">
        <v>0.78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2:24" ht="24.75" thickBot="1" x14ac:dyDescent="0.3">
      <c r="B61" s="4" t="s">
        <v>125</v>
      </c>
      <c r="C61" s="4"/>
      <c r="D61" s="4"/>
      <c r="E61" s="4"/>
      <c r="F61" s="39">
        <v>0.2</v>
      </c>
      <c r="G61" s="4">
        <v>0.2</v>
      </c>
      <c r="H61" s="4">
        <v>0.2</v>
      </c>
      <c r="I61" s="4">
        <v>0.2</v>
      </c>
      <c r="J61" s="4">
        <v>0.2</v>
      </c>
      <c r="K61" s="4">
        <v>0.2</v>
      </c>
      <c r="L61" s="4">
        <v>0.2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2:24" ht="24.75" thickBot="1" x14ac:dyDescent="0.3">
      <c r="B62" s="4" t="s">
        <v>126</v>
      </c>
      <c r="C62" s="4"/>
      <c r="D62" s="4"/>
      <c r="E62" s="4"/>
      <c r="F62" s="39">
        <v>0.5</v>
      </c>
      <c r="G62" s="4">
        <v>0.5</v>
      </c>
      <c r="H62" s="4">
        <v>0.5</v>
      </c>
      <c r="I62" s="4">
        <v>0.5</v>
      </c>
      <c r="J62" s="4">
        <v>0.5</v>
      </c>
      <c r="K62" s="4">
        <v>0.5</v>
      </c>
      <c r="L62" s="4">
        <v>0.5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2:24" ht="15.75" thickBot="1" x14ac:dyDescent="0.3">
      <c r="B63" s="12"/>
      <c r="C63" s="12"/>
      <c r="D63" s="12"/>
      <c r="E63" s="12"/>
      <c r="F63" s="44"/>
      <c r="G63" s="35"/>
      <c r="H63" s="35"/>
      <c r="I63" s="35"/>
      <c r="J63" s="35"/>
      <c r="K63" s="12"/>
      <c r="L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 spans="2:24" ht="24.75" thickBot="1" x14ac:dyDescent="0.3">
      <c r="B64" s="4" t="s">
        <v>127</v>
      </c>
      <c r="C64" s="4" t="s">
        <v>54</v>
      </c>
      <c r="D64" s="4" t="s">
        <v>69</v>
      </c>
      <c r="E64" s="4">
        <v>1</v>
      </c>
      <c r="F64" s="39">
        <v>1.2999999999999999E-2</v>
      </c>
      <c r="G64" s="4">
        <v>1.2E-2</v>
      </c>
      <c r="H64" s="4">
        <v>1.7999999999999999E-2</v>
      </c>
      <c r="I64" s="4">
        <v>1.4E-2</v>
      </c>
      <c r="J64" s="4">
        <v>5.0999999999999997E-2</v>
      </c>
      <c r="K64" s="4">
        <v>0.153</v>
      </c>
      <c r="L64" s="4">
        <v>1.6E-2</v>
      </c>
    </row>
    <row r="65" spans="2:24" ht="24.75" thickBot="1" x14ac:dyDescent="0.3">
      <c r="B65" s="4" t="s">
        <v>128</v>
      </c>
      <c r="C65" s="4" t="s">
        <v>54</v>
      </c>
      <c r="D65" s="4" t="s">
        <v>69</v>
      </c>
      <c r="E65" s="4">
        <v>1</v>
      </c>
      <c r="F65" s="39">
        <v>1.2999999999999999E-2</v>
      </c>
      <c r="G65" s="4">
        <v>3.7999999999999999E-2</v>
      </c>
      <c r="H65" s="4">
        <v>2.9000000000000001E-2</v>
      </c>
      <c r="I65" s="4">
        <v>0.03</v>
      </c>
      <c r="J65" s="4">
        <v>4.2000000000000003E-2</v>
      </c>
      <c r="K65" s="4">
        <v>1.4999999999999999E-2</v>
      </c>
      <c r="L65" s="4">
        <v>2.3E-2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2:24" ht="24.75" thickBot="1" x14ac:dyDescent="0.3">
      <c r="B66" s="4" t="s">
        <v>320</v>
      </c>
      <c r="C66" s="4" t="s">
        <v>54</v>
      </c>
      <c r="D66" s="4" t="s">
        <v>69</v>
      </c>
      <c r="E66" s="4">
        <v>1</v>
      </c>
      <c r="F66" s="4">
        <v>0.38</v>
      </c>
      <c r="G66" s="4">
        <v>0.155</v>
      </c>
      <c r="H66" s="4">
        <v>0.29599999999999999</v>
      </c>
      <c r="I66" s="4">
        <v>0.111</v>
      </c>
      <c r="J66" s="4">
        <v>7.8E-2</v>
      </c>
      <c r="K66" s="4">
        <v>0.14599999999999999</v>
      </c>
      <c r="L66" s="4">
        <v>0.11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2:24" ht="24.75" thickBot="1" x14ac:dyDescent="0.3">
      <c r="B67" s="4" t="s">
        <v>125</v>
      </c>
      <c r="C67" s="4"/>
      <c r="D67" s="4"/>
      <c r="E67" s="4"/>
      <c r="F67" s="39">
        <v>0.1</v>
      </c>
      <c r="G67" s="4">
        <v>0.1</v>
      </c>
      <c r="H67" s="4">
        <v>0.1</v>
      </c>
      <c r="I67" s="4">
        <v>0.1</v>
      </c>
      <c r="J67" s="4">
        <v>0.1</v>
      </c>
      <c r="K67" s="4">
        <v>0.1</v>
      </c>
      <c r="L67" s="4">
        <v>0.1</v>
      </c>
      <c r="M67" s="4">
        <v>0.1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2:24" ht="24.75" thickBot="1" x14ac:dyDescent="0.3">
      <c r="B68" s="4" t="s">
        <v>126</v>
      </c>
      <c r="C68" s="4"/>
      <c r="D68" s="4"/>
      <c r="E68" s="4"/>
      <c r="F68" s="39"/>
      <c r="G68" s="4"/>
      <c r="H68" s="4"/>
      <c r="I68" s="4"/>
      <c r="J68" s="4"/>
      <c r="K68" s="4"/>
      <c r="L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2:24" ht="15.75" thickBot="1" x14ac:dyDescent="0.3">
      <c r="B69" s="12"/>
      <c r="C69" s="12"/>
      <c r="D69" s="12"/>
      <c r="E69" s="12"/>
      <c r="F69" s="41"/>
      <c r="G69" s="12"/>
      <c r="H69" s="12"/>
      <c r="I69" s="12"/>
      <c r="J69" s="12"/>
      <c r="K69" s="12"/>
      <c r="L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 spans="2:24" ht="15.75" customHeight="1" thickBot="1" x14ac:dyDescent="0.3">
      <c r="B70" s="4" t="s">
        <v>130</v>
      </c>
      <c r="C70" s="4" t="s">
        <v>54</v>
      </c>
      <c r="D70" s="14" t="s">
        <v>37</v>
      </c>
      <c r="E70" s="14" t="s">
        <v>37</v>
      </c>
      <c r="F70" s="39">
        <v>165</v>
      </c>
      <c r="G70" s="4">
        <v>175</v>
      </c>
      <c r="H70" s="4">
        <v>110</v>
      </c>
      <c r="I70" s="4">
        <v>99</v>
      </c>
      <c r="J70" s="4">
        <v>125</v>
      </c>
      <c r="K70" s="4">
        <v>120</v>
      </c>
      <c r="L70" s="4">
        <v>140</v>
      </c>
    </row>
    <row r="71" spans="2:24" ht="15.75" customHeight="1" thickBot="1" x14ac:dyDescent="0.3">
      <c r="B71" s="4" t="s">
        <v>131</v>
      </c>
      <c r="C71" s="4" t="s">
        <v>54</v>
      </c>
      <c r="D71" s="14" t="s">
        <v>37</v>
      </c>
      <c r="E71" s="14" t="s">
        <v>37</v>
      </c>
      <c r="F71" s="4">
        <v>345</v>
      </c>
      <c r="G71" s="4">
        <v>370</v>
      </c>
      <c r="H71" s="4">
        <v>390</v>
      </c>
      <c r="I71" s="4">
        <v>410</v>
      </c>
      <c r="J71" s="4">
        <v>370</v>
      </c>
      <c r="K71" s="4">
        <v>240</v>
      </c>
      <c r="L71" s="4">
        <v>240</v>
      </c>
      <c r="N71" s="4"/>
      <c r="O71" s="4"/>
      <c r="P71" s="14"/>
      <c r="Q71" s="14"/>
      <c r="R71" s="4"/>
      <c r="S71" s="4"/>
      <c r="T71" s="4"/>
      <c r="U71" s="4"/>
      <c r="V71" s="4"/>
      <c r="W71" s="4"/>
      <c r="X71" s="4"/>
    </row>
    <row r="72" spans="2:24" ht="15.75" thickBot="1" x14ac:dyDescent="0.3">
      <c r="N72" s="4" t="s">
        <v>43</v>
      </c>
      <c r="O72" s="4" t="s">
        <v>54</v>
      </c>
      <c r="P72" s="14">
        <v>10</v>
      </c>
      <c r="Q72" s="14">
        <v>10</v>
      </c>
      <c r="R72" s="4">
        <v>11</v>
      </c>
      <c r="S72" s="4">
        <v>13</v>
      </c>
      <c r="T72" s="4">
        <v>9</v>
      </c>
      <c r="U72" s="4">
        <v>14</v>
      </c>
      <c r="V72" s="4">
        <v>20</v>
      </c>
      <c r="W72" s="4">
        <v>14</v>
      </c>
      <c r="X72" s="4">
        <v>30</v>
      </c>
    </row>
    <row r="73" spans="2:24" ht="15.6" customHeight="1" thickBot="1" x14ac:dyDescent="0.3">
      <c r="N73" s="4" t="s">
        <v>44</v>
      </c>
      <c r="O73" s="4" t="s">
        <v>54</v>
      </c>
      <c r="P73" s="14">
        <v>2</v>
      </c>
      <c r="Q73" s="14">
        <v>24</v>
      </c>
      <c r="R73" s="4">
        <v>0.13</v>
      </c>
      <c r="S73" s="4">
        <v>0.37</v>
      </c>
      <c r="T73" s="4">
        <v>0.12</v>
      </c>
      <c r="U73" s="4">
        <v>0.1</v>
      </c>
      <c r="V73" s="4">
        <v>0.13</v>
      </c>
      <c r="W73" s="4">
        <v>0.26</v>
      </c>
      <c r="X73" s="4">
        <v>0.27</v>
      </c>
    </row>
    <row r="74" spans="2:24" ht="15.6" customHeight="1" thickBot="1" x14ac:dyDescent="0.3">
      <c r="N74" s="4" t="s">
        <v>125</v>
      </c>
      <c r="O74" s="4" t="s">
        <v>54</v>
      </c>
      <c r="P74" s="36"/>
      <c r="Q74" s="14">
        <v>2</v>
      </c>
      <c r="R74" s="14">
        <v>2</v>
      </c>
      <c r="S74" s="14">
        <v>2</v>
      </c>
      <c r="T74" s="14">
        <v>2</v>
      </c>
      <c r="U74" s="14">
        <v>2</v>
      </c>
      <c r="V74" s="14">
        <v>2</v>
      </c>
      <c r="W74" s="14">
        <v>2</v>
      </c>
      <c r="X74" s="14">
        <v>2</v>
      </c>
    </row>
    <row r="75" spans="2:24" ht="15" customHeight="1" thickBot="1" x14ac:dyDescent="0.3">
      <c r="N75" s="4" t="s">
        <v>126</v>
      </c>
      <c r="O75" s="4" t="s">
        <v>54</v>
      </c>
      <c r="Q75" s="14">
        <v>24</v>
      </c>
      <c r="R75" s="14">
        <v>24</v>
      </c>
      <c r="S75" s="14">
        <v>24</v>
      </c>
      <c r="T75" s="14">
        <v>24</v>
      </c>
      <c r="U75" s="14">
        <v>24</v>
      </c>
      <c r="V75" s="14">
        <v>24</v>
      </c>
      <c r="W75" s="14">
        <v>24</v>
      </c>
      <c r="X75" s="14">
        <v>24</v>
      </c>
    </row>
    <row r="76" spans="2:24" ht="24.75" customHeight="1" x14ac:dyDescent="0.25">
      <c r="B76" s="396" t="s">
        <v>72</v>
      </c>
      <c r="C76" s="397"/>
      <c r="D76" s="397"/>
      <c r="E76" s="397"/>
      <c r="F76" s="397"/>
      <c r="G76" s="397"/>
      <c r="H76" s="397"/>
      <c r="I76" s="397"/>
      <c r="J76" s="397"/>
      <c r="K76" s="397"/>
      <c r="L76" s="397"/>
    </row>
    <row r="77" spans="2:24" ht="1.5" customHeight="1" thickBot="1" x14ac:dyDescent="0.3"/>
    <row r="78" spans="2:24" ht="24.75" customHeight="1" thickBot="1" x14ac:dyDescent="0.3">
      <c r="B78" s="390" t="s">
        <v>34</v>
      </c>
      <c r="C78" s="390" t="s">
        <v>35</v>
      </c>
      <c r="D78" s="392" t="s">
        <v>33</v>
      </c>
      <c r="E78" s="393"/>
      <c r="F78" s="478" t="s">
        <v>27</v>
      </c>
      <c r="G78" s="388" t="s">
        <v>28</v>
      </c>
      <c r="H78" s="388" t="s">
        <v>29</v>
      </c>
      <c r="I78" s="388" t="s">
        <v>30</v>
      </c>
      <c r="J78" s="388" t="s">
        <v>31</v>
      </c>
      <c r="K78" s="388" t="s">
        <v>25</v>
      </c>
      <c r="L78" s="388" t="s">
        <v>32</v>
      </c>
    </row>
    <row r="79" spans="2:24" ht="15.75" thickBot="1" x14ac:dyDescent="0.3">
      <c r="B79" s="391"/>
      <c r="C79" s="391"/>
      <c r="D79" s="19" t="s">
        <v>60</v>
      </c>
      <c r="E79" s="18" t="s">
        <v>61</v>
      </c>
      <c r="F79" s="479"/>
      <c r="G79" s="389"/>
      <c r="H79" s="389"/>
      <c r="I79" s="389"/>
      <c r="J79" s="389"/>
      <c r="K79" s="389"/>
      <c r="L79" s="389"/>
    </row>
    <row r="80" spans="2:24" ht="1.5" customHeight="1" thickBot="1" x14ac:dyDescent="0.3"/>
    <row r="81" spans="2:12" ht="24.75" thickBot="1" x14ac:dyDescent="0.3">
      <c r="B81" s="4" t="s">
        <v>57</v>
      </c>
      <c r="C81" s="15" t="s">
        <v>58</v>
      </c>
      <c r="D81" s="14" t="s">
        <v>37</v>
      </c>
      <c r="E81" s="14" t="s">
        <v>37</v>
      </c>
      <c r="F81" s="39"/>
      <c r="G81" s="4"/>
      <c r="H81" s="4"/>
      <c r="I81" s="4"/>
      <c r="J81" s="4"/>
      <c r="K81" s="4"/>
      <c r="L81" s="4"/>
    </row>
    <row r="82" spans="2:12" ht="24.75" thickBot="1" x14ac:dyDescent="0.3">
      <c r="B82" s="4" t="s">
        <v>55</v>
      </c>
      <c r="C82" s="15" t="s">
        <v>58</v>
      </c>
      <c r="D82" s="15" t="s">
        <v>59</v>
      </c>
      <c r="E82" s="4" t="s">
        <v>59</v>
      </c>
      <c r="F82" s="39"/>
      <c r="G82" s="4"/>
      <c r="H82" s="4"/>
      <c r="I82" s="4"/>
      <c r="J82" s="4"/>
      <c r="K82" s="4"/>
      <c r="L82" s="4"/>
    </row>
    <row r="83" spans="2:12" ht="23.25" thickBot="1" x14ac:dyDescent="0.3">
      <c r="B83" s="4" t="s">
        <v>56</v>
      </c>
      <c r="C83" s="15" t="s">
        <v>58</v>
      </c>
      <c r="D83" s="15" t="s">
        <v>59</v>
      </c>
      <c r="E83" s="14" t="s">
        <v>37</v>
      </c>
      <c r="F83" s="39"/>
      <c r="G83" s="4"/>
      <c r="H83" s="4"/>
      <c r="I83" s="4"/>
      <c r="J83" s="4"/>
      <c r="K83" s="4"/>
      <c r="L83" s="4"/>
    </row>
    <row r="85" spans="2:12" x14ac:dyDescent="0.25">
      <c r="B85" s="26">
        <v>1</v>
      </c>
      <c r="C85" s="26" t="s">
        <v>80</v>
      </c>
    </row>
    <row r="86" spans="2:12" x14ac:dyDescent="0.25">
      <c r="B86" s="26">
        <v>1000</v>
      </c>
      <c r="C86" s="26" t="s">
        <v>81</v>
      </c>
    </row>
  </sheetData>
  <mergeCells count="30">
    <mergeCell ref="B4:L4"/>
    <mergeCell ref="B6:B7"/>
    <mergeCell ref="C6:C7"/>
    <mergeCell ref="D6:E6"/>
    <mergeCell ref="F6:F7"/>
    <mergeCell ref="G6:G7"/>
    <mergeCell ref="H6:H7"/>
    <mergeCell ref="I6:I7"/>
    <mergeCell ref="J6:J7"/>
    <mergeCell ref="K6:K7"/>
    <mergeCell ref="N27:N28"/>
    <mergeCell ref="O27:O28"/>
    <mergeCell ref="P27:Q27"/>
    <mergeCell ref="L6:L7"/>
    <mergeCell ref="B25:L25"/>
    <mergeCell ref="N25:X25"/>
    <mergeCell ref="B27:B28"/>
    <mergeCell ref="C27:C28"/>
    <mergeCell ref="D27:E27"/>
    <mergeCell ref="L78:L79"/>
    <mergeCell ref="B76:L76"/>
    <mergeCell ref="B78:B79"/>
    <mergeCell ref="C78:C79"/>
    <mergeCell ref="D78:E78"/>
    <mergeCell ref="F78:F79"/>
    <mergeCell ref="G78:G79"/>
    <mergeCell ref="H78:H79"/>
    <mergeCell ref="I78:I79"/>
    <mergeCell ref="J78:J79"/>
    <mergeCell ref="K78:K79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G3:T39"/>
  <sheetViews>
    <sheetView topLeftCell="A5" workbookViewId="0">
      <selection activeCell="O4" sqref="O4:T32"/>
    </sheetView>
  </sheetViews>
  <sheetFormatPr baseColWidth="10" defaultRowHeight="15" x14ac:dyDescent="0.25"/>
  <cols>
    <col min="9" max="9" width="26.85546875" customWidth="1"/>
    <col min="11" max="11" width="25.42578125" customWidth="1"/>
    <col min="12" max="12" width="15.140625" customWidth="1"/>
    <col min="13" max="13" width="27.42578125" customWidth="1"/>
    <col min="15" max="15" width="16.85546875" style="32" customWidth="1"/>
    <col min="16" max="16" width="11.42578125" style="32"/>
    <col min="17" max="17" width="15.28515625" style="32" customWidth="1"/>
    <col min="18" max="18" width="11.42578125" style="32"/>
    <col min="19" max="19" width="17.7109375" style="32" customWidth="1"/>
    <col min="20" max="20" width="11.42578125" style="32"/>
  </cols>
  <sheetData>
    <row r="3" spans="7:20" ht="15.75" thickBot="1" x14ac:dyDescent="0.3"/>
    <row r="4" spans="7:20" ht="51.75" customHeight="1" thickBot="1" x14ac:dyDescent="0.35">
      <c r="G4" s="484" t="s">
        <v>176</v>
      </c>
      <c r="H4" s="485"/>
      <c r="I4" s="486"/>
      <c r="K4" s="482" t="s">
        <v>177</v>
      </c>
      <c r="L4" s="482"/>
      <c r="M4" s="482"/>
      <c r="O4" s="483" t="s">
        <v>201</v>
      </c>
      <c r="P4" s="483"/>
      <c r="Q4" s="483"/>
      <c r="R4" s="483"/>
      <c r="S4" s="483"/>
      <c r="T4" s="483"/>
    </row>
    <row r="5" spans="7:20" x14ac:dyDescent="0.25">
      <c r="G5" s="480" t="s">
        <v>138</v>
      </c>
      <c r="H5" s="480" t="s">
        <v>139</v>
      </c>
      <c r="I5" s="480" t="s">
        <v>140</v>
      </c>
      <c r="K5" s="480" t="s">
        <v>138</v>
      </c>
      <c r="L5" s="480" t="s">
        <v>139</v>
      </c>
      <c r="M5" s="480" t="s">
        <v>140</v>
      </c>
    </row>
    <row r="6" spans="7:20" ht="16.5" thickBot="1" x14ac:dyDescent="0.3">
      <c r="G6" s="481"/>
      <c r="H6" s="481"/>
      <c r="I6" s="481"/>
      <c r="K6" s="481"/>
      <c r="L6" s="481"/>
      <c r="M6" s="481"/>
      <c r="O6" s="64" t="s">
        <v>202</v>
      </c>
      <c r="P6" s="64" t="s">
        <v>23</v>
      </c>
      <c r="Q6" s="64" t="s">
        <v>203</v>
      </c>
      <c r="R6" s="64" t="s">
        <v>23</v>
      </c>
      <c r="S6" s="64" t="s">
        <v>204</v>
      </c>
      <c r="T6" s="64" t="s">
        <v>23</v>
      </c>
    </row>
    <row r="7" spans="7:20" x14ac:dyDescent="0.25">
      <c r="G7" s="58" t="s">
        <v>141</v>
      </c>
      <c r="H7" s="57">
        <v>1.2</v>
      </c>
      <c r="I7" s="59" t="s">
        <v>142</v>
      </c>
      <c r="K7" s="56" t="s">
        <v>178</v>
      </c>
      <c r="L7" s="57">
        <v>1.6</v>
      </c>
      <c r="M7" s="57" t="s">
        <v>142</v>
      </c>
      <c r="O7" s="63" t="s">
        <v>205</v>
      </c>
      <c r="P7" s="63" t="s">
        <v>206</v>
      </c>
      <c r="Q7" s="63" t="s">
        <v>207</v>
      </c>
      <c r="R7" s="63" t="s">
        <v>208</v>
      </c>
      <c r="S7" s="63" t="s">
        <v>147</v>
      </c>
      <c r="T7" s="63" t="s">
        <v>209</v>
      </c>
    </row>
    <row r="8" spans="7:20" ht="28.5" x14ac:dyDescent="0.25">
      <c r="G8" s="58" t="s">
        <v>143</v>
      </c>
      <c r="H8" s="57">
        <v>1.2</v>
      </c>
      <c r="I8" s="59" t="s">
        <v>142</v>
      </c>
      <c r="K8" s="56" t="s">
        <v>179</v>
      </c>
      <c r="L8" s="57">
        <v>1.6</v>
      </c>
      <c r="M8" s="57" t="s">
        <v>142</v>
      </c>
      <c r="O8" s="63" t="s">
        <v>149</v>
      </c>
      <c r="P8" s="63" t="s">
        <v>210</v>
      </c>
      <c r="Q8" s="63" t="s">
        <v>180</v>
      </c>
      <c r="R8" s="63" t="s">
        <v>208</v>
      </c>
      <c r="S8" s="63" t="s">
        <v>172</v>
      </c>
      <c r="T8" s="63" t="s">
        <v>211</v>
      </c>
    </row>
    <row r="9" spans="7:20" x14ac:dyDescent="0.25">
      <c r="G9" s="58" t="s">
        <v>144</v>
      </c>
      <c r="H9" s="57">
        <v>1.5</v>
      </c>
      <c r="I9" s="59" t="s">
        <v>142</v>
      </c>
      <c r="K9" s="56" t="s">
        <v>180</v>
      </c>
      <c r="L9" s="57">
        <v>1.5</v>
      </c>
      <c r="M9" s="57" t="s">
        <v>142</v>
      </c>
      <c r="O9" s="63" t="s">
        <v>151</v>
      </c>
      <c r="P9" s="63" t="s">
        <v>212</v>
      </c>
      <c r="Q9" s="63" t="s">
        <v>213</v>
      </c>
      <c r="R9" s="63" t="s">
        <v>214</v>
      </c>
      <c r="S9" s="63" t="s">
        <v>215</v>
      </c>
      <c r="T9" s="63" t="s">
        <v>214</v>
      </c>
    </row>
    <row r="10" spans="7:20" x14ac:dyDescent="0.25">
      <c r="G10" s="58" t="s">
        <v>145</v>
      </c>
      <c r="H10" s="57">
        <v>1</v>
      </c>
      <c r="I10" s="59" t="s">
        <v>142</v>
      </c>
      <c r="K10" s="56" t="s">
        <v>181</v>
      </c>
      <c r="L10" s="57">
        <v>1.5</v>
      </c>
      <c r="M10" s="57" t="s">
        <v>142</v>
      </c>
      <c r="O10" s="63" t="s">
        <v>216</v>
      </c>
      <c r="P10" s="63" t="s">
        <v>217</v>
      </c>
      <c r="Q10" s="63" t="s">
        <v>218</v>
      </c>
      <c r="R10" s="63" t="s">
        <v>219</v>
      </c>
      <c r="S10" s="63" t="s">
        <v>220</v>
      </c>
      <c r="T10" s="63" t="s">
        <v>219</v>
      </c>
    </row>
    <row r="11" spans="7:20" x14ac:dyDescent="0.25">
      <c r="G11" s="58" t="s">
        <v>146</v>
      </c>
      <c r="H11" s="57">
        <v>1</v>
      </c>
      <c r="I11" s="59" t="s">
        <v>142</v>
      </c>
      <c r="K11" s="56" t="s">
        <v>182</v>
      </c>
      <c r="L11" s="57">
        <v>1.5</v>
      </c>
      <c r="M11" s="57" t="s">
        <v>142</v>
      </c>
      <c r="O11" s="63" t="s">
        <v>221</v>
      </c>
      <c r="P11" s="63" t="s">
        <v>222</v>
      </c>
      <c r="Q11" s="63" t="s">
        <v>223</v>
      </c>
      <c r="R11" s="63" t="s">
        <v>224</v>
      </c>
      <c r="S11" s="63" t="s">
        <v>225</v>
      </c>
      <c r="T11" s="63" t="s">
        <v>224</v>
      </c>
    </row>
    <row r="12" spans="7:20" x14ac:dyDescent="0.25">
      <c r="G12" s="58" t="s">
        <v>147</v>
      </c>
      <c r="H12" s="57">
        <v>2</v>
      </c>
      <c r="I12" s="59" t="s">
        <v>148</v>
      </c>
      <c r="K12" s="56" t="s">
        <v>183</v>
      </c>
      <c r="L12" s="57">
        <v>1.7</v>
      </c>
      <c r="M12" s="57" t="s">
        <v>142</v>
      </c>
      <c r="O12" s="63" t="s">
        <v>153</v>
      </c>
      <c r="P12" s="63" t="s">
        <v>226</v>
      </c>
      <c r="Q12" s="63" t="s">
        <v>227</v>
      </c>
      <c r="R12" s="63" t="s">
        <v>228</v>
      </c>
      <c r="S12" s="63" t="s">
        <v>150</v>
      </c>
      <c r="T12" s="63" t="s">
        <v>229</v>
      </c>
    </row>
    <row r="13" spans="7:20" x14ac:dyDescent="0.25">
      <c r="G13" s="58" t="s">
        <v>149</v>
      </c>
      <c r="H13" s="57">
        <v>1.8</v>
      </c>
      <c r="I13" s="59" t="s">
        <v>148</v>
      </c>
      <c r="K13" s="56" t="s">
        <v>184</v>
      </c>
      <c r="L13" s="57">
        <v>1.7</v>
      </c>
      <c r="M13" s="57" t="s">
        <v>142</v>
      </c>
      <c r="O13" s="63" t="s">
        <v>141</v>
      </c>
      <c r="P13" s="63" t="s">
        <v>222</v>
      </c>
      <c r="Q13" s="63" t="s">
        <v>230</v>
      </c>
      <c r="R13" s="63" t="s">
        <v>214</v>
      </c>
      <c r="S13" s="63" t="s">
        <v>231</v>
      </c>
      <c r="T13" s="63" t="s">
        <v>232</v>
      </c>
    </row>
    <row r="14" spans="7:20" x14ac:dyDescent="0.25">
      <c r="G14" s="58" t="s">
        <v>150</v>
      </c>
      <c r="H14" s="57">
        <v>1.7</v>
      </c>
      <c r="I14" s="59" t="s">
        <v>148</v>
      </c>
      <c r="K14" s="56" t="s">
        <v>185</v>
      </c>
      <c r="L14" s="57">
        <v>1.5</v>
      </c>
      <c r="M14" s="57" t="s">
        <v>142</v>
      </c>
      <c r="O14" s="63" t="s">
        <v>233</v>
      </c>
      <c r="P14" s="63" t="s">
        <v>206</v>
      </c>
      <c r="Q14" s="63" t="s">
        <v>194</v>
      </c>
      <c r="R14" s="63" t="s">
        <v>206</v>
      </c>
      <c r="S14" s="63" t="s">
        <v>234</v>
      </c>
      <c r="T14" s="63" t="s">
        <v>232</v>
      </c>
    </row>
    <row r="15" spans="7:20" ht="30" x14ac:dyDescent="0.25">
      <c r="G15" s="58" t="s">
        <v>151</v>
      </c>
      <c r="H15" s="57">
        <v>1.1000000000000001</v>
      </c>
      <c r="I15" s="59" t="s">
        <v>148</v>
      </c>
      <c r="K15" s="56" t="s">
        <v>186</v>
      </c>
      <c r="L15" s="57">
        <v>1.5</v>
      </c>
      <c r="M15" s="57" t="s">
        <v>142</v>
      </c>
      <c r="O15" s="63" t="s">
        <v>235</v>
      </c>
      <c r="P15" s="63" t="s">
        <v>236</v>
      </c>
      <c r="Q15" s="63" t="s">
        <v>185</v>
      </c>
      <c r="R15" s="63" t="s">
        <v>237</v>
      </c>
      <c r="S15" s="63" t="s">
        <v>238</v>
      </c>
      <c r="T15" s="63" t="s">
        <v>239</v>
      </c>
    </row>
    <row r="16" spans="7:20" ht="28.5" x14ac:dyDescent="0.25">
      <c r="G16" s="58" t="s">
        <v>152</v>
      </c>
      <c r="H16" s="57">
        <v>2.8</v>
      </c>
      <c r="I16" s="59" t="s">
        <v>148</v>
      </c>
      <c r="K16" s="56" t="s">
        <v>187</v>
      </c>
      <c r="L16" s="57">
        <v>1.21</v>
      </c>
      <c r="M16" s="57" t="s">
        <v>142</v>
      </c>
      <c r="O16" s="63" t="s">
        <v>154</v>
      </c>
      <c r="P16" s="63" t="s">
        <v>222</v>
      </c>
      <c r="Q16" s="63" t="s">
        <v>188</v>
      </c>
      <c r="R16" s="63" t="s">
        <v>240</v>
      </c>
      <c r="S16" s="63" t="s">
        <v>241</v>
      </c>
      <c r="T16" s="63" t="s">
        <v>242</v>
      </c>
    </row>
    <row r="17" spans="7:20" x14ac:dyDescent="0.25">
      <c r="G17" s="58" t="s">
        <v>153</v>
      </c>
      <c r="H17" s="57">
        <v>1.2</v>
      </c>
      <c r="I17" s="59" t="s">
        <v>148</v>
      </c>
      <c r="K17" s="56" t="s">
        <v>188</v>
      </c>
      <c r="L17" s="57">
        <v>1.7</v>
      </c>
      <c r="M17" s="57" t="s">
        <v>142</v>
      </c>
      <c r="O17" s="63" t="s">
        <v>243</v>
      </c>
      <c r="P17" s="63" t="s">
        <v>226</v>
      </c>
      <c r="Q17" s="63" t="s">
        <v>244</v>
      </c>
      <c r="R17" s="63" t="s">
        <v>245</v>
      </c>
      <c r="S17" s="63" t="s">
        <v>174</v>
      </c>
      <c r="T17" s="63" t="s">
        <v>246</v>
      </c>
    </row>
    <row r="18" spans="7:20" x14ac:dyDescent="0.25">
      <c r="G18" s="58" t="s">
        <v>154</v>
      </c>
      <c r="H18" s="57">
        <v>1.8</v>
      </c>
      <c r="I18" s="59" t="s">
        <v>148</v>
      </c>
      <c r="K18" s="56" t="s">
        <v>189</v>
      </c>
      <c r="L18" s="57">
        <v>1.7</v>
      </c>
      <c r="M18" s="57" t="s">
        <v>142</v>
      </c>
      <c r="O18" s="63" t="s">
        <v>247</v>
      </c>
      <c r="P18" s="63" t="s">
        <v>248</v>
      </c>
      <c r="Q18" s="63" t="s">
        <v>189</v>
      </c>
      <c r="R18" s="63" t="s">
        <v>206</v>
      </c>
      <c r="S18" s="63" t="s">
        <v>249</v>
      </c>
      <c r="T18" s="63" t="s">
        <v>240</v>
      </c>
    </row>
    <row r="19" spans="7:20" x14ac:dyDescent="0.25">
      <c r="G19" s="58" t="s">
        <v>155</v>
      </c>
      <c r="H19" s="57">
        <v>2</v>
      </c>
      <c r="I19" s="59" t="s">
        <v>148</v>
      </c>
      <c r="K19" s="56" t="s">
        <v>190</v>
      </c>
      <c r="L19" s="57">
        <v>1.6</v>
      </c>
      <c r="M19" s="57" t="s">
        <v>142</v>
      </c>
      <c r="O19" s="63" t="s">
        <v>155</v>
      </c>
      <c r="P19" s="63" t="s">
        <v>250</v>
      </c>
      <c r="Q19" s="63" t="s">
        <v>251</v>
      </c>
      <c r="R19" s="63" t="s">
        <v>252</v>
      </c>
      <c r="S19" s="63" t="s">
        <v>253</v>
      </c>
      <c r="T19" s="63" t="s">
        <v>254</v>
      </c>
    </row>
    <row r="20" spans="7:20" x14ac:dyDescent="0.25">
      <c r="G20" s="58" t="s">
        <v>156</v>
      </c>
      <c r="H20" s="57">
        <v>1.7</v>
      </c>
      <c r="I20" s="59" t="s">
        <v>148</v>
      </c>
      <c r="K20" s="56" t="s">
        <v>191</v>
      </c>
      <c r="L20" s="57">
        <v>1.5</v>
      </c>
      <c r="M20" s="57" t="s">
        <v>142</v>
      </c>
      <c r="O20" s="63" t="s">
        <v>255</v>
      </c>
      <c r="P20" s="63" t="s">
        <v>211</v>
      </c>
      <c r="Q20" s="63" t="s">
        <v>198</v>
      </c>
      <c r="R20" s="63" t="s">
        <v>239</v>
      </c>
      <c r="S20" s="63" t="s">
        <v>256</v>
      </c>
      <c r="T20" s="63" t="s">
        <v>257</v>
      </c>
    </row>
    <row r="21" spans="7:20" ht="21" customHeight="1" x14ac:dyDescent="0.25">
      <c r="G21" s="58" t="s">
        <v>157</v>
      </c>
      <c r="H21" s="57">
        <v>1.6</v>
      </c>
      <c r="I21" s="59" t="s">
        <v>148</v>
      </c>
      <c r="K21" s="56" t="s">
        <v>200</v>
      </c>
      <c r="L21" s="57">
        <v>1.7</v>
      </c>
      <c r="M21" s="57" t="s">
        <v>142</v>
      </c>
      <c r="O21" s="63" t="s">
        <v>258</v>
      </c>
      <c r="P21" s="63" t="s">
        <v>259</v>
      </c>
      <c r="Q21" s="63" t="s">
        <v>191</v>
      </c>
      <c r="R21" s="63" t="s">
        <v>257</v>
      </c>
      <c r="S21" s="63" t="s">
        <v>156</v>
      </c>
      <c r="T21" s="63" t="s">
        <v>222</v>
      </c>
    </row>
    <row r="22" spans="7:20" ht="28.5" x14ac:dyDescent="0.25">
      <c r="G22" s="58" t="s">
        <v>158</v>
      </c>
      <c r="H22" s="57">
        <v>1.25</v>
      </c>
      <c r="I22" s="59" t="s">
        <v>148</v>
      </c>
      <c r="K22" s="56" t="s">
        <v>193</v>
      </c>
      <c r="L22" s="57">
        <v>1.92</v>
      </c>
      <c r="M22" s="57" t="s">
        <v>148</v>
      </c>
      <c r="O22" s="63" t="s">
        <v>260</v>
      </c>
      <c r="P22" s="63" t="s">
        <v>261</v>
      </c>
      <c r="Q22" s="63" t="s">
        <v>262</v>
      </c>
      <c r="R22" s="63" t="s">
        <v>263</v>
      </c>
      <c r="S22" s="63" t="s">
        <v>264</v>
      </c>
      <c r="T22" s="63" t="s">
        <v>265</v>
      </c>
    </row>
    <row r="23" spans="7:20" x14ac:dyDescent="0.25">
      <c r="G23" s="58" t="s">
        <v>159</v>
      </c>
      <c r="H23" s="57">
        <v>1.7</v>
      </c>
      <c r="I23" s="59" t="s">
        <v>148</v>
      </c>
      <c r="K23" s="56" t="s">
        <v>194</v>
      </c>
      <c r="L23" s="57">
        <v>1.5</v>
      </c>
      <c r="M23" s="57" t="s">
        <v>148</v>
      </c>
      <c r="O23" s="63" t="s">
        <v>266</v>
      </c>
      <c r="P23" s="63" t="s">
        <v>267</v>
      </c>
      <c r="Q23" s="63" t="s">
        <v>268</v>
      </c>
      <c r="R23" s="63" t="s">
        <v>206</v>
      </c>
      <c r="S23" s="63" t="s">
        <v>269</v>
      </c>
      <c r="T23" s="63" t="s">
        <v>219</v>
      </c>
    </row>
    <row r="24" spans="7:20" x14ac:dyDescent="0.25">
      <c r="G24" s="58" t="s">
        <v>160</v>
      </c>
      <c r="H24" s="57">
        <v>1.7</v>
      </c>
      <c r="I24" s="59" t="s">
        <v>148</v>
      </c>
      <c r="K24" s="56" t="s">
        <v>195</v>
      </c>
      <c r="L24" s="57">
        <v>1.5</v>
      </c>
      <c r="M24" s="57" t="s">
        <v>148</v>
      </c>
      <c r="O24" s="63" t="s">
        <v>160</v>
      </c>
      <c r="P24" s="63" t="s">
        <v>226</v>
      </c>
      <c r="Q24" s="63" t="s">
        <v>192</v>
      </c>
      <c r="R24" s="63" t="s">
        <v>206</v>
      </c>
      <c r="S24" s="63" t="s">
        <v>159</v>
      </c>
      <c r="T24" s="63" t="s">
        <v>270</v>
      </c>
    </row>
    <row r="25" spans="7:20" x14ac:dyDescent="0.25">
      <c r="G25" s="58" t="s">
        <v>161</v>
      </c>
      <c r="H25" s="57">
        <v>1.7</v>
      </c>
      <c r="I25" s="59" t="s">
        <v>148</v>
      </c>
      <c r="K25" s="56" t="s">
        <v>196</v>
      </c>
      <c r="L25" s="57">
        <v>5</v>
      </c>
      <c r="M25" s="57" t="s">
        <v>148</v>
      </c>
      <c r="O25" s="63" t="s">
        <v>162</v>
      </c>
      <c r="P25" s="63" t="s">
        <v>236</v>
      </c>
      <c r="Q25" s="63" t="s">
        <v>271</v>
      </c>
      <c r="R25" s="63" t="s">
        <v>237</v>
      </c>
      <c r="S25" s="63" t="s">
        <v>272</v>
      </c>
      <c r="T25" s="63" t="s">
        <v>270</v>
      </c>
    </row>
    <row r="26" spans="7:20" x14ac:dyDescent="0.25">
      <c r="G26" s="58" t="s">
        <v>162</v>
      </c>
      <c r="H26" s="57">
        <v>1.7</v>
      </c>
      <c r="I26" s="59" t="s">
        <v>148</v>
      </c>
      <c r="K26" s="56" t="s">
        <v>197</v>
      </c>
      <c r="L26" s="57">
        <v>4.2</v>
      </c>
      <c r="M26" s="57" t="s">
        <v>148</v>
      </c>
      <c r="O26" s="63" t="s">
        <v>273</v>
      </c>
      <c r="P26" s="63" t="s">
        <v>274</v>
      </c>
      <c r="Q26" s="63"/>
      <c r="R26" s="63"/>
      <c r="S26" s="63" t="s">
        <v>275</v>
      </c>
      <c r="T26" s="63" t="s">
        <v>276</v>
      </c>
    </row>
    <row r="27" spans="7:20" x14ac:dyDescent="0.25">
      <c r="G27" s="58" t="s">
        <v>163</v>
      </c>
      <c r="H27" s="57">
        <v>1.7</v>
      </c>
      <c r="I27" s="59" t="s">
        <v>148</v>
      </c>
      <c r="K27" s="56" t="s">
        <v>198</v>
      </c>
      <c r="L27" s="57">
        <v>5</v>
      </c>
      <c r="M27" s="57" t="s">
        <v>148</v>
      </c>
      <c r="O27" s="63" t="s">
        <v>164</v>
      </c>
      <c r="P27" s="63" t="s">
        <v>236</v>
      </c>
      <c r="Q27" s="63"/>
      <c r="R27" s="63"/>
      <c r="S27" s="63" t="s">
        <v>277</v>
      </c>
      <c r="T27" s="63" t="s">
        <v>278</v>
      </c>
    </row>
    <row r="28" spans="7:20" x14ac:dyDescent="0.25">
      <c r="G28" s="58" t="s">
        <v>164</v>
      </c>
      <c r="H28" s="57">
        <v>2</v>
      </c>
      <c r="I28" s="59" t="s">
        <v>148</v>
      </c>
      <c r="K28" s="56" t="s">
        <v>199</v>
      </c>
      <c r="L28" s="57">
        <v>4</v>
      </c>
      <c r="M28" s="57" t="s">
        <v>173</v>
      </c>
      <c r="O28" s="63" t="s">
        <v>165</v>
      </c>
      <c r="P28" s="63" t="s">
        <v>279</v>
      </c>
      <c r="Q28" s="63"/>
      <c r="R28" s="63"/>
      <c r="S28" s="63" t="s">
        <v>280</v>
      </c>
      <c r="T28" s="63" t="s">
        <v>281</v>
      </c>
    </row>
    <row r="29" spans="7:20" x14ac:dyDescent="0.25">
      <c r="G29" s="58" t="s">
        <v>165</v>
      </c>
      <c r="H29" s="57">
        <v>1.5</v>
      </c>
      <c r="I29" s="59" t="s">
        <v>148</v>
      </c>
      <c r="O29" s="63" t="s">
        <v>166</v>
      </c>
      <c r="P29" s="63" t="s">
        <v>210</v>
      </c>
      <c r="Q29" s="63"/>
      <c r="R29" s="63"/>
      <c r="S29" s="63" t="s">
        <v>282</v>
      </c>
      <c r="T29" s="63" t="s">
        <v>283</v>
      </c>
    </row>
    <row r="30" spans="7:20" x14ac:dyDescent="0.25">
      <c r="G30" s="58" t="s">
        <v>166</v>
      </c>
      <c r="H30" s="57">
        <v>1.2</v>
      </c>
      <c r="I30" s="59" t="s">
        <v>148</v>
      </c>
      <c r="O30" s="63" t="s">
        <v>284</v>
      </c>
      <c r="P30" s="63" t="s">
        <v>285</v>
      </c>
      <c r="Q30" s="63"/>
      <c r="R30" s="63"/>
      <c r="S30" s="63" t="s">
        <v>286</v>
      </c>
      <c r="T30" s="63" t="s">
        <v>287</v>
      </c>
    </row>
    <row r="31" spans="7:20" x14ac:dyDescent="0.25">
      <c r="G31" s="58" t="s">
        <v>167</v>
      </c>
      <c r="H31" s="57">
        <v>0.9</v>
      </c>
      <c r="I31" s="59" t="s">
        <v>148</v>
      </c>
      <c r="O31" s="63" t="s">
        <v>168</v>
      </c>
      <c r="P31" s="63" t="s">
        <v>267</v>
      </c>
      <c r="Q31" s="63"/>
      <c r="R31" s="63"/>
      <c r="S31" s="63" t="s">
        <v>288</v>
      </c>
      <c r="T31" s="63" t="s">
        <v>289</v>
      </c>
    </row>
    <row r="32" spans="7:20" x14ac:dyDescent="0.25">
      <c r="G32" s="58" t="s">
        <v>168</v>
      </c>
      <c r="H32" s="57">
        <v>2</v>
      </c>
      <c r="I32" s="59" t="s">
        <v>148</v>
      </c>
      <c r="O32" s="63" t="s">
        <v>146</v>
      </c>
      <c r="P32" s="63" t="s">
        <v>290</v>
      </c>
      <c r="Q32" s="63"/>
      <c r="R32" s="63"/>
      <c r="S32" s="63" t="s">
        <v>291</v>
      </c>
      <c r="T32" s="63" t="s">
        <v>292</v>
      </c>
    </row>
    <row r="33" spans="7:9" x14ac:dyDescent="0.25">
      <c r="G33" s="58" t="s">
        <v>169</v>
      </c>
      <c r="H33" s="57">
        <v>6.1</v>
      </c>
      <c r="I33" s="59" t="s">
        <v>148</v>
      </c>
    </row>
    <row r="34" spans="7:9" ht="28.5" x14ac:dyDescent="0.25">
      <c r="G34" s="58" t="s">
        <v>170</v>
      </c>
      <c r="H34" s="57">
        <v>6.8</v>
      </c>
      <c r="I34" s="59" t="s">
        <v>148</v>
      </c>
    </row>
    <row r="35" spans="7:9" x14ac:dyDescent="0.25">
      <c r="G35" s="58" t="s">
        <v>171</v>
      </c>
      <c r="H35" s="57">
        <v>6</v>
      </c>
      <c r="I35" s="59" t="s">
        <v>148</v>
      </c>
    </row>
    <row r="36" spans="7:9" x14ac:dyDescent="0.25">
      <c r="G36" s="58" t="s">
        <v>172</v>
      </c>
      <c r="H36" s="57">
        <v>7.7</v>
      </c>
      <c r="I36" s="59" t="s">
        <v>173</v>
      </c>
    </row>
    <row r="37" spans="7:9" x14ac:dyDescent="0.25">
      <c r="G37" s="58" t="s">
        <v>174</v>
      </c>
      <c r="H37" s="57">
        <v>8</v>
      </c>
      <c r="I37" s="59" t="s">
        <v>173</v>
      </c>
    </row>
    <row r="38" spans="7:9" ht="28.5" x14ac:dyDescent="0.25">
      <c r="G38" s="58" t="s">
        <v>175</v>
      </c>
      <c r="H38" s="57">
        <v>7</v>
      </c>
      <c r="I38" s="59" t="s">
        <v>173</v>
      </c>
    </row>
    <row r="39" spans="7:9" ht="15.75" thickBot="1" x14ac:dyDescent="0.3">
      <c r="G39" s="60"/>
      <c r="H39" s="61"/>
      <c r="I39" s="62"/>
    </row>
  </sheetData>
  <mergeCells count="9">
    <mergeCell ref="M5:M6"/>
    <mergeCell ref="K4:M4"/>
    <mergeCell ref="O4:T4"/>
    <mergeCell ref="G5:G6"/>
    <mergeCell ref="H5:H6"/>
    <mergeCell ref="I5:I6"/>
    <mergeCell ref="G4:I4"/>
    <mergeCell ref="K5:K6"/>
    <mergeCell ref="L5:L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zoomScale="50" zoomScaleNormal="50" workbookViewId="0">
      <selection activeCell="S93" sqref="S93"/>
    </sheetView>
  </sheetViews>
  <sheetFormatPr baseColWidth="10" defaultRowHeight="15" x14ac:dyDescent="0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2:O178"/>
  <sheetViews>
    <sheetView showGridLines="0" topLeftCell="A160" zoomScale="90" zoomScaleNormal="90" workbookViewId="0">
      <selection activeCell="H179" sqref="H179"/>
    </sheetView>
  </sheetViews>
  <sheetFormatPr baseColWidth="10" defaultColWidth="11.42578125" defaultRowHeight="15" x14ac:dyDescent="0.25"/>
  <cols>
    <col min="1" max="1" width="11.42578125" style="51"/>
    <col min="2" max="2" width="32.85546875" style="51" bestFit="1" customWidth="1"/>
    <col min="3" max="3" width="17.7109375" style="51" customWidth="1"/>
    <col min="4" max="4" width="18" style="51" customWidth="1"/>
    <col min="5" max="5" width="11.42578125" style="51" customWidth="1"/>
    <col min="6" max="11" width="11.42578125" style="51"/>
    <col min="12" max="12" width="10.42578125" style="51" customWidth="1"/>
    <col min="13" max="14" width="11.42578125" style="51"/>
    <col min="15" max="15" width="11.85546875" style="51" bestFit="1" customWidth="1"/>
    <col min="16" max="16384" width="11.42578125" style="51"/>
  </cols>
  <sheetData>
    <row r="2" spans="2:15" ht="15.75" thickBot="1" x14ac:dyDescent="0.3"/>
    <row r="3" spans="2:15" ht="16.5" thickBot="1" x14ac:dyDescent="0.3">
      <c r="B3" s="489" t="s">
        <v>345</v>
      </c>
      <c r="C3" s="490"/>
      <c r="D3" s="490"/>
      <c r="E3" s="490"/>
      <c r="F3" s="490"/>
      <c r="G3" s="490"/>
      <c r="H3" s="490"/>
      <c r="I3" s="490"/>
      <c r="J3" s="490"/>
      <c r="K3" s="490"/>
      <c r="L3" s="490"/>
      <c r="M3" s="490"/>
      <c r="N3" s="491"/>
    </row>
    <row r="4" spans="2:15" ht="15.75" thickBot="1" x14ac:dyDescent="0.3">
      <c r="B4" s="487" t="s">
        <v>346</v>
      </c>
      <c r="C4" s="497" t="s">
        <v>33</v>
      </c>
      <c r="D4" s="498"/>
      <c r="E4" s="237" t="s">
        <v>337</v>
      </c>
      <c r="F4" s="237" t="s">
        <v>84</v>
      </c>
      <c r="G4" s="237" t="s">
        <v>338</v>
      </c>
      <c r="H4" s="237" t="s">
        <v>339</v>
      </c>
      <c r="I4" s="237" t="s">
        <v>340</v>
      </c>
      <c r="J4" s="237" t="s">
        <v>341</v>
      </c>
      <c r="K4" s="237" t="s">
        <v>342</v>
      </c>
      <c r="L4" s="237" t="s">
        <v>343</v>
      </c>
      <c r="M4" s="237" t="s">
        <v>344</v>
      </c>
      <c r="N4" s="237" t="s">
        <v>355</v>
      </c>
    </row>
    <row r="5" spans="2:15" ht="15.75" thickBot="1" x14ac:dyDescent="0.3">
      <c r="B5" s="488"/>
      <c r="C5" s="238" t="s">
        <v>298</v>
      </c>
      <c r="D5" s="239" t="s">
        <v>297</v>
      </c>
      <c r="E5" s="240" t="s">
        <v>53</v>
      </c>
      <c r="F5" s="240" t="s">
        <v>53</v>
      </c>
      <c r="G5" s="240" t="s">
        <v>53</v>
      </c>
      <c r="H5" s="240" t="s">
        <v>53</v>
      </c>
      <c r="I5" s="240" t="s">
        <v>53</v>
      </c>
      <c r="J5" s="240" t="s">
        <v>53</v>
      </c>
      <c r="K5" s="240" t="s">
        <v>53</v>
      </c>
      <c r="L5" s="240" t="s">
        <v>53</v>
      </c>
      <c r="M5" s="240" t="s">
        <v>53</v>
      </c>
      <c r="N5" s="241" t="s">
        <v>53</v>
      </c>
    </row>
    <row r="6" spans="2:15" x14ac:dyDescent="0.25">
      <c r="B6" s="234" t="s">
        <v>27</v>
      </c>
      <c r="C6" s="499" t="s">
        <v>350</v>
      </c>
      <c r="D6" s="502" t="s">
        <v>350</v>
      </c>
      <c r="E6" s="242">
        <v>61.9</v>
      </c>
      <c r="F6" s="242">
        <v>8.4499999999999993</v>
      </c>
      <c r="G6" s="242">
        <v>13.1</v>
      </c>
      <c r="H6" s="242">
        <v>17.3</v>
      </c>
      <c r="I6" s="242">
        <v>16.600000000000001</v>
      </c>
      <c r="J6" s="242">
        <v>11.5</v>
      </c>
      <c r="K6" s="242">
        <v>17.100000000000001</v>
      </c>
      <c r="L6" s="242">
        <v>18.04</v>
      </c>
      <c r="M6" s="242">
        <v>11.3</v>
      </c>
      <c r="N6" s="243">
        <v>16.899999999999999</v>
      </c>
      <c r="O6" s="231">
        <f>MAX(E6:N12)</f>
        <v>559</v>
      </c>
    </row>
    <row r="7" spans="2:15" x14ac:dyDescent="0.25">
      <c r="B7" s="235" t="s">
        <v>28</v>
      </c>
      <c r="C7" s="500"/>
      <c r="D7" s="503"/>
      <c r="E7" s="243">
        <v>19.8</v>
      </c>
      <c r="F7" s="243">
        <v>9.59</v>
      </c>
      <c r="G7" s="243">
        <v>15</v>
      </c>
      <c r="H7" s="243">
        <v>18.399999999999999</v>
      </c>
      <c r="I7" s="243">
        <v>24.1</v>
      </c>
      <c r="J7" s="243">
        <v>17.600000000000001</v>
      </c>
      <c r="K7" s="243">
        <v>12.4</v>
      </c>
      <c r="L7" s="243">
        <v>10.08</v>
      </c>
      <c r="M7" s="243">
        <v>13.3</v>
      </c>
      <c r="N7" s="243">
        <v>20.100000000000001</v>
      </c>
      <c r="O7" s="336">
        <f>MIN(E6:N12)</f>
        <v>8.4499999999999993</v>
      </c>
    </row>
    <row r="8" spans="2:15" x14ac:dyDescent="0.25">
      <c r="B8" s="235" t="s">
        <v>29</v>
      </c>
      <c r="C8" s="500"/>
      <c r="D8" s="503"/>
      <c r="E8" s="243">
        <v>31.6</v>
      </c>
      <c r="F8" s="243">
        <v>10.199999999999999</v>
      </c>
      <c r="G8" s="243">
        <v>11.5</v>
      </c>
      <c r="H8" s="243">
        <v>12.2</v>
      </c>
      <c r="I8" s="243">
        <v>20.5</v>
      </c>
      <c r="J8" s="243">
        <v>21.8</v>
      </c>
      <c r="K8" s="243">
        <v>14</v>
      </c>
      <c r="L8" s="243">
        <v>25.6</v>
      </c>
      <c r="M8" s="243">
        <v>20.9</v>
      </c>
      <c r="N8" s="243">
        <v>56.1</v>
      </c>
    </row>
    <row r="9" spans="2:15" x14ac:dyDescent="0.25">
      <c r="B9" s="235" t="s">
        <v>30</v>
      </c>
      <c r="C9" s="500"/>
      <c r="D9" s="503"/>
      <c r="E9" s="243">
        <v>33.1</v>
      </c>
      <c r="F9" s="243">
        <v>15.1</v>
      </c>
      <c r="G9" s="243">
        <v>19.100000000000001</v>
      </c>
      <c r="H9" s="243">
        <v>17.8</v>
      </c>
      <c r="I9" s="243">
        <v>32.5</v>
      </c>
      <c r="J9" s="243">
        <v>35.6</v>
      </c>
      <c r="K9" s="243">
        <v>26.8</v>
      </c>
      <c r="L9" s="243">
        <v>23.8</v>
      </c>
      <c r="M9" s="243">
        <v>18.8</v>
      </c>
      <c r="N9" s="243">
        <v>27.4</v>
      </c>
    </row>
    <row r="10" spans="2:15" x14ac:dyDescent="0.25">
      <c r="B10" s="235" t="s">
        <v>31</v>
      </c>
      <c r="C10" s="500"/>
      <c r="D10" s="503"/>
      <c r="E10" s="243">
        <v>57.2</v>
      </c>
      <c r="F10" s="243">
        <v>25.6</v>
      </c>
      <c r="G10" s="243">
        <v>29.1</v>
      </c>
      <c r="H10" s="243">
        <v>28.6</v>
      </c>
      <c r="I10" s="243">
        <v>58.6</v>
      </c>
      <c r="J10" s="243">
        <v>57.6</v>
      </c>
      <c r="K10" s="243">
        <v>37</v>
      </c>
      <c r="L10" s="243">
        <v>27.9</v>
      </c>
      <c r="M10" s="243">
        <v>29.7</v>
      </c>
      <c r="N10" s="243">
        <v>38.1</v>
      </c>
    </row>
    <row r="11" spans="2:15" x14ac:dyDescent="0.25">
      <c r="B11" s="235" t="s">
        <v>25</v>
      </c>
      <c r="C11" s="500"/>
      <c r="D11" s="503"/>
      <c r="E11" s="243">
        <v>405</v>
      </c>
      <c r="F11" s="243">
        <v>190</v>
      </c>
      <c r="G11" s="243">
        <v>129</v>
      </c>
      <c r="H11" s="243">
        <v>132</v>
      </c>
      <c r="I11" s="243">
        <v>88.5</v>
      </c>
      <c r="J11" s="243">
        <v>348</v>
      </c>
      <c r="K11" s="243">
        <v>121</v>
      </c>
      <c r="L11" s="243">
        <v>101</v>
      </c>
      <c r="M11" s="243">
        <v>153</v>
      </c>
      <c r="N11" s="243">
        <v>251</v>
      </c>
    </row>
    <row r="12" spans="2:15" ht="15.75" thickBot="1" x14ac:dyDescent="0.3">
      <c r="B12" s="236" t="s">
        <v>32</v>
      </c>
      <c r="C12" s="501"/>
      <c r="D12" s="504"/>
      <c r="E12" s="244">
        <v>433</v>
      </c>
      <c r="F12" s="244">
        <v>232</v>
      </c>
      <c r="G12" s="244">
        <v>104</v>
      </c>
      <c r="H12" s="244">
        <v>112</v>
      </c>
      <c r="I12" s="244">
        <v>91</v>
      </c>
      <c r="J12" s="244">
        <v>559</v>
      </c>
      <c r="K12" s="244">
        <v>153</v>
      </c>
      <c r="L12" s="244">
        <v>156</v>
      </c>
      <c r="M12" s="244">
        <v>205</v>
      </c>
      <c r="N12" s="244">
        <v>261</v>
      </c>
    </row>
    <row r="13" spans="2:15" ht="15.75" thickBot="1" x14ac:dyDescent="0.3"/>
    <row r="14" spans="2:15" ht="16.5" thickBot="1" x14ac:dyDescent="0.3">
      <c r="B14" s="492" t="s">
        <v>347</v>
      </c>
      <c r="C14" s="490"/>
      <c r="D14" s="490"/>
      <c r="E14" s="493"/>
      <c r="F14" s="493"/>
      <c r="G14" s="493"/>
      <c r="H14" s="493"/>
      <c r="I14" s="493"/>
      <c r="J14" s="493"/>
      <c r="K14" s="493"/>
      <c r="L14" s="493"/>
      <c r="M14" s="493"/>
      <c r="N14" s="494"/>
    </row>
    <row r="15" spans="2:15" ht="15.75" thickBot="1" x14ac:dyDescent="0.3">
      <c r="B15" s="495" t="s">
        <v>346</v>
      </c>
      <c r="C15" s="505" t="s">
        <v>33</v>
      </c>
      <c r="D15" s="498"/>
      <c r="E15" s="237" t="s">
        <v>337</v>
      </c>
      <c r="F15" s="237" t="s">
        <v>84</v>
      </c>
      <c r="G15" s="237" t="s">
        <v>338</v>
      </c>
      <c r="H15" s="237" t="s">
        <v>339</v>
      </c>
      <c r="I15" s="237" t="s">
        <v>340</v>
      </c>
      <c r="J15" s="237" t="s">
        <v>341</v>
      </c>
      <c r="K15" s="237" t="s">
        <v>342</v>
      </c>
      <c r="L15" s="237" t="s">
        <v>343</v>
      </c>
      <c r="M15" s="237" t="s">
        <v>344</v>
      </c>
      <c r="N15" s="237" t="s">
        <v>355</v>
      </c>
    </row>
    <row r="16" spans="2:15" ht="15.75" thickBot="1" x14ac:dyDescent="0.3">
      <c r="B16" s="496"/>
      <c r="C16" s="256" t="s">
        <v>298</v>
      </c>
      <c r="D16" s="257" t="s">
        <v>297</v>
      </c>
      <c r="E16" s="237" t="s">
        <v>64</v>
      </c>
      <c r="F16" s="237" t="s">
        <v>64</v>
      </c>
      <c r="G16" s="237" t="s">
        <v>64</v>
      </c>
      <c r="H16" s="237" t="s">
        <v>64</v>
      </c>
      <c r="I16" s="237" t="s">
        <v>64</v>
      </c>
      <c r="J16" s="237" t="s">
        <v>64</v>
      </c>
      <c r="K16" s="237" t="s">
        <v>64</v>
      </c>
      <c r="L16" s="237" t="s">
        <v>64</v>
      </c>
      <c r="M16" s="237" t="s">
        <v>64</v>
      </c>
      <c r="N16" s="237" t="s">
        <v>64</v>
      </c>
    </row>
    <row r="17" spans="2:15" x14ac:dyDescent="0.25">
      <c r="B17" s="241" t="s">
        <v>27</v>
      </c>
      <c r="C17" s="500">
        <v>2500</v>
      </c>
      <c r="D17" s="506">
        <v>5000</v>
      </c>
      <c r="E17" s="246" t="s">
        <v>37</v>
      </c>
      <c r="F17" s="247">
        <v>3400</v>
      </c>
      <c r="G17" s="247">
        <v>3540</v>
      </c>
      <c r="H17" s="247">
        <v>3340</v>
      </c>
      <c r="I17" s="247">
        <v>3210</v>
      </c>
      <c r="J17" s="247">
        <v>3050</v>
      </c>
      <c r="K17" s="247">
        <v>3300</v>
      </c>
      <c r="L17" s="248">
        <v>3770</v>
      </c>
      <c r="M17" s="247">
        <v>3360</v>
      </c>
      <c r="N17" s="249">
        <v>3500</v>
      </c>
      <c r="O17" s="51">
        <f>MAX(E17:N23)</f>
        <v>3770</v>
      </c>
    </row>
    <row r="18" spans="2:15" x14ac:dyDescent="0.25">
      <c r="B18" s="235" t="s">
        <v>28</v>
      </c>
      <c r="C18" s="500"/>
      <c r="D18" s="506"/>
      <c r="E18" s="250" t="s">
        <v>37</v>
      </c>
      <c r="F18" s="245">
        <v>2250</v>
      </c>
      <c r="G18" s="245">
        <v>2350</v>
      </c>
      <c r="H18" s="245">
        <v>2530</v>
      </c>
      <c r="I18" s="245">
        <v>2129</v>
      </c>
      <c r="J18" s="245">
        <v>2048</v>
      </c>
      <c r="K18" s="245">
        <v>2210</v>
      </c>
      <c r="L18" s="245">
        <v>2098</v>
      </c>
      <c r="M18" s="245">
        <v>2170</v>
      </c>
      <c r="N18" s="251">
        <v>2070</v>
      </c>
      <c r="O18" s="51">
        <f>MIN(E17:N23)</f>
        <v>262</v>
      </c>
    </row>
    <row r="19" spans="2:15" x14ac:dyDescent="0.25">
      <c r="B19" s="235" t="s">
        <v>29</v>
      </c>
      <c r="C19" s="500"/>
      <c r="D19" s="506"/>
      <c r="E19" s="250" t="s">
        <v>37</v>
      </c>
      <c r="F19" s="245">
        <v>3000</v>
      </c>
      <c r="G19" s="245">
        <v>2060</v>
      </c>
      <c r="H19" s="245">
        <v>2950</v>
      </c>
      <c r="I19" s="245">
        <v>2840</v>
      </c>
      <c r="J19" s="245">
        <v>2740</v>
      </c>
      <c r="K19" s="245">
        <v>2960</v>
      </c>
      <c r="L19" s="245">
        <v>2970</v>
      </c>
      <c r="M19" s="245">
        <v>2890</v>
      </c>
      <c r="N19" s="251">
        <v>2770</v>
      </c>
    </row>
    <row r="20" spans="2:15" x14ac:dyDescent="0.25">
      <c r="B20" s="235" t="s">
        <v>30</v>
      </c>
      <c r="C20" s="500"/>
      <c r="D20" s="506"/>
      <c r="E20" s="250" t="s">
        <v>37</v>
      </c>
      <c r="F20" s="245">
        <v>2700</v>
      </c>
      <c r="G20" s="245">
        <v>2670</v>
      </c>
      <c r="H20" s="245">
        <v>2730</v>
      </c>
      <c r="I20" s="245">
        <v>2620</v>
      </c>
      <c r="J20" s="245">
        <v>2520</v>
      </c>
      <c r="K20" s="245">
        <v>2800</v>
      </c>
      <c r="L20" s="245">
        <v>2700</v>
      </c>
      <c r="M20" s="245">
        <v>2690</v>
      </c>
      <c r="N20" s="251">
        <v>2730</v>
      </c>
    </row>
    <row r="21" spans="2:15" x14ac:dyDescent="0.25">
      <c r="B21" s="235" t="s">
        <v>31</v>
      </c>
      <c r="C21" s="500"/>
      <c r="D21" s="506"/>
      <c r="E21" s="250" t="s">
        <v>37</v>
      </c>
      <c r="F21" s="245">
        <v>2260</v>
      </c>
      <c r="G21" s="245">
        <v>2360</v>
      </c>
      <c r="H21" s="245">
        <v>2550</v>
      </c>
      <c r="I21" s="245">
        <v>2280</v>
      </c>
      <c r="J21" s="245">
        <v>2222</v>
      </c>
      <c r="K21" s="245">
        <v>2520</v>
      </c>
      <c r="L21" s="245">
        <v>2380</v>
      </c>
      <c r="M21" s="245">
        <v>2290</v>
      </c>
      <c r="N21" s="251">
        <v>2260</v>
      </c>
    </row>
    <row r="22" spans="2:15" x14ac:dyDescent="0.25">
      <c r="B22" s="235" t="s">
        <v>25</v>
      </c>
      <c r="C22" s="500"/>
      <c r="D22" s="506"/>
      <c r="E22" s="250" t="s">
        <v>37</v>
      </c>
      <c r="F22" s="245">
        <v>263</v>
      </c>
      <c r="G22" s="245">
        <v>315</v>
      </c>
      <c r="H22" s="245">
        <v>403</v>
      </c>
      <c r="I22" s="245">
        <v>479</v>
      </c>
      <c r="J22" s="245">
        <v>512</v>
      </c>
      <c r="K22" s="245">
        <v>520</v>
      </c>
      <c r="L22" s="245">
        <v>515</v>
      </c>
      <c r="M22" s="245">
        <v>400</v>
      </c>
      <c r="N22" s="251">
        <v>294</v>
      </c>
    </row>
    <row r="23" spans="2:15" ht="15.75" thickBot="1" x14ac:dyDescent="0.3">
      <c r="B23" s="236" t="s">
        <v>32</v>
      </c>
      <c r="C23" s="501"/>
      <c r="D23" s="507"/>
      <c r="E23" s="252" t="s">
        <v>37</v>
      </c>
      <c r="F23" s="255">
        <v>262</v>
      </c>
      <c r="G23" s="253">
        <v>309</v>
      </c>
      <c r="H23" s="253">
        <v>381</v>
      </c>
      <c r="I23" s="253">
        <v>483</v>
      </c>
      <c r="J23" s="253">
        <v>509</v>
      </c>
      <c r="K23" s="253">
        <v>530</v>
      </c>
      <c r="L23" s="253">
        <v>519</v>
      </c>
      <c r="M23" s="253">
        <v>390</v>
      </c>
      <c r="N23" s="254">
        <v>394</v>
      </c>
    </row>
    <row r="24" spans="2:15" ht="15.75" thickBot="1" x14ac:dyDescent="0.3">
      <c r="B24" s="259"/>
      <c r="C24" s="232"/>
      <c r="D24" s="232"/>
    </row>
    <row r="25" spans="2:15" ht="16.5" thickBot="1" x14ac:dyDescent="0.3">
      <c r="B25" s="489" t="s">
        <v>348</v>
      </c>
      <c r="C25" s="490"/>
      <c r="D25" s="490"/>
      <c r="E25" s="490"/>
      <c r="F25" s="490"/>
      <c r="G25" s="490"/>
      <c r="H25" s="490"/>
      <c r="I25" s="490"/>
      <c r="J25" s="490"/>
      <c r="K25" s="490"/>
      <c r="L25" s="490"/>
      <c r="M25" s="490"/>
      <c r="N25" s="491"/>
    </row>
    <row r="26" spans="2:15" ht="15.75" thickBot="1" x14ac:dyDescent="0.3">
      <c r="B26" s="487" t="s">
        <v>346</v>
      </c>
      <c r="C26" s="497" t="s">
        <v>33</v>
      </c>
      <c r="D26" s="498"/>
      <c r="E26" s="237" t="s">
        <v>337</v>
      </c>
      <c r="F26" s="237" t="s">
        <v>84</v>
      </c>
      <c r="G26" s="237" t="s">
        <v>338</v>
      </c>
      <c r="H26" s="237" t="s">
        <v>339</v>
      </c>
      <c r="I26" s="237" t="s">
        <v>340</v>
      </c>
      <c r="J26" s="237" t="s">
        <v>341</v>
      </c>
      <c r="K26" s="237" t="s">
        <v>342</v>
      </c>
      <c r="L26" s="237" t="s">
        <v>343</v>
      </c>
      <c r="M26" s="237" t="s">
        <v>344</v>
      </c>
      <c r="N26" s="237" t="s">
        <v>355</v>
      </c>
    </row>
    <row r="27" spans="2:15" ht="15.75" thickBot="1" x14ac:dyDescent="0.3">
      <c r="B27" s="488"/>
      <c r="C27" s="260" t="s">
        <v>298</v>
      </c>
      <c r="D27" s="261" t="s">
        <v>297</v>
      </c>
      <c r="E27" s="262" t="s">
        <v>24</v>
      </c>
      <c r="F27" s="262" t="s">
        <v>24</v>
      </c>
      <c r="G27" s="262" t="s">
        <v>24</v>
      </c>
      <c r="H27" s="262" t="s">
        <v>24</v>
      </c>
      <c r="I27" s="262" t="s">
        <v>24</v>
      </c>
      <c r="J27" s="262" t="s">
        <v>24</v>
      </c>
      <c r="K27" s="262" t="s">
        <v>24</v>
      </c>
      <c r="L27" s="262" t="s">
        <v>24</v>
      </c>
      <c r="M27" s="262" t="s">
        <v>24</v>
      </c>
      <c r="N27" s="262" t="s">
        <v>24</v>
      </c>
    </row>
    <row r="28" spans="2:15" x14ac:dyDescent="0.25">
      <c r="B28" s="234" t="s">
        <v>27</v>
      </c>
      <c r="C28" s="500" t="s">
        <v>350</v>
      </c>
      <c r="D28" s="506" t="s">
        <v>350</v>
      </c>
      <c r="E28" s="246" t="s">
        <v>37</v>
      </c>
      <c r="F28" s="247">
        <v>1700</v>
      </c>
      <c r="G28" s="247">
        <v>1167</v>
      </c>
      <c r="H28" s="247">
        <v>1670</v>
      </c>
      <c r="I28" s="247">
        <v>1705</v>
      </c>
      <c r="J28" s="247">
        <v>1685</v>
      </c>
      <c r="K28" s="247">
        <v>1697</v>
      </c>
      <c r="L28" s="248">
        <v>1951</v>
      </c>
      <c r="M28" s="247">
        <v>1728</v>
      </c>
      <c r="N28" s="249">
        <v>1563</v>
      </c>
      <c r="O28" s="51">
        <f>MAX(E28:N34)</f>
        <v>1951</v>
      </c>
    </row>
    <row r="29" spans="2:15" x14ac:dyDescent="0.25">
      <c r="B29" s="235" t="s">
        <v>28</v>
      </c>
      <c r="C29" s="500"/>
      <c r="D29" s="506"/>
      <c r="E29" s="250" t="s">
        <v>37</v>
      </c>
      <c r="F29" s="245">
        <v>1125</v>
      </c>
      <c r="G29" s="245">
        <v>1151</v>
      </c>
      <c r="H29" s="245">
        <v>1265</v>
      </c>
      <c r="I29" s="245">
        <v>1104</v>
      </c>
      <c r="J29" s="245">
        <v>1113</v>
      </c>
      <c r="K29" s="245">
        <v>1119</v>
      </c>
      <c r="L29" s="245">
        <v>1060</v>
      </c>
      <c r="M29" s="245">
        <v>1100</v>
      </c>
      <c r="N29" s="251">
        <v>942</v>
      </c>
      <c r="O29" s="51">
        <f>MIN(E28:N34)</f>
        <v>131</v>
      </c>
    </row>
    <row r="30" spans="2:15" x14ac:dyDescent="0.25">
      <c r="B30" s="235" t="s">
        <v>29</v>
      </c>
      <c r="C30" s="500"/>
      <c r="D30" s="506"/>
      <c r="E30" s="250" t="s">
        <v>37</v>
      </c>
      <c r="F30" s="245">
        <v>1500</v>
      </c>
      <c r="G30" s="245">
        <v>1524</v>
      </c>
      <c r="H30" s="245">
        <v>1475</v>
      </c>
      <c r="I30" s="245">
        <v>1419</v>
      </c>
      <c r="J30" s="245">
        <v>1505</v>
      </c>
      <c r="K30" s="245">
        <v>1515</v>
      </c>
      <c r="L30" s="245">
        <v>1522</v>
      </c>
      <c r="M30" s="245">
        <v>1470</v>
      </c>
      <c r="N30" s="251">
        <v>1310</v>
      </c>
    </row>
    <row r="31" spans="2:15" x14ac:dyDescent="0.25">
      <c r="B31" s="235" t="s">
        <v>30</v>
      </c>
      <c r="C31" s="500"/>
      <c r="D31" s="506"/>
      <c r="E31" s="250" t="s">
        <v>37</v>
      </c>
      <c r="F31" s="245">
        <v>1350</v>
      </c>
      <c r="G31" s="245">
        <v>1318</v>
      </c>
      <c r="H31" s="245">
        <v>1365</v>
      </c>
      <c r="I31" s="245">
        <v>1362</v>
      </c>
      <c r="J31" s="245">
        <v>1382</v>
      </c>
      <c r="K31" s="245">
        <v>1430</v>
      </c>
      <c r="L31" s="245">
        <v>1358</v>
      </c>
      <c r="M31" s="245">
        <v>1371</v>
      </c>
      <c r="N31" s="251">
        <v>1292</v>
      </c>
    </row>
    <row r="32" spans="2:15" x14ac:dyDescent="0.25">
      <c r="B32" s="235" t="s">
        <v>31</v>
      </c>
      <c r="C32" s="500"/>
      <c r="D32" s="506"/>
      <c r="E32" s="250" t="s">
        <v>37</v>
      </c>
      <c r="F32" s="245">
        <v>1130</v>
      </c>
      <c r="G32" s="245">
        <v>1160</v>
      </c>
      <c r="H32" s="245">
        <v>1275</v>
      </c>
      <c r="I32" s="245">
        <v>1184</v>
      </c>
      <c r="J32" s="245">
        <v>1212</v>
      </c>
      <c r="K32" s="245">
        <v>1284</v>
      </c>
      <c r="L32" s="245">
        <v>1206</v>
      </c>
      <c r="M32" s="245">
        <v>1162</v>
      </c>
      <c r="N32" s="251">
        <v>1077</v>
      </c>
    </row>
    <row r="33" spans="2:15" x14ac:dyDescent="0.25">
      <c r="B33" s="235" t="s">
        <v>25</v>
      </c>
      <c r="C33" s="500"/>
      <c r="D33" s="506"/>
      <c r="E33" s="250" t="s">
        <v>37</v>
      </c>
      <c r="F33" s="258">
        <v>131.5</v>
      </c>
      <c r="G33" s="258">
        <v>156.4</v>
      </c>
      <c r="H33" s="245">
        <v>201.5</v>
      </c>
      <c r="I33" s="245">
        <v>240</v>
      </c>
      <c r="J33" s="245">
        <v>266</v>
      </c>
      <c r="K33" s="245">
        <v>254</v>
      </c>
      <c r="L33" s="245">
        <v>297</v>
      </c>
      <c r="M33" s="245">
        <v>194.5</v>
      </c>
      <c r="N33" s="251">
        <v>146</v>
      </c>
    </row>
    <row r="34" spans="2:15" ht="15.75" thickBot="1" x14ac:dyDescent="0.3">
      <c r="B34" s="236" t="s">
        <v>32</v>
      </c>
      <c r="C34" s="501"/>
      <c r="D34" s="507"/>
      <c r="E34" s="252" t="s">
        <v>37</v>
      </c>
      <c r="F34" s="255">
        <v>131</v>
      </c>
      <c r="G34" s="253">
        <v>156.5</v>
      </c>
      <c r="H34" s="253">
        <v>190.5</v>
      </c>
      <c r="I34" s="253">
        <v>243</v>
      </c>
      <c r="J34" s="253">
        <v>264</v>
      </c>
      <c r="K34" s="253">
        <v>256</v>
      </c>
      <c r="L34" s="253">
        <v>251</v>
      </c>
      <c r="M34" s="253">
        <v>187</v>
      </c>
      <c r="N34" s="254">
        <v>199</v>
      </c>
    </row>
    <row r="35" spans="2:15" ht="15.75" thickBot="1" x14ac:dyDescent="0.3"/>
    <row r="36" spans="2:15" ht="16.5" thickBot="1" x14ac:dyDescent="0.3">
      <c r="B36" s="489" t="s">
        <v>23</v>
      </c>
      <c r="C36" s="490"/>
      <c r="D36" s="490"/>
      <c r="E36" s="493"/>
      <c r="F36" s="493"/>
      <c r="G36" s="493"/>
      <c r="H36" s="493"/>
      <c r="I36" s="493"/>
      <c r="J36" s="493"/>
      <c r="K36" s="493"/>
      <c r="L36" s="493"/>
      <c r="M36" s="493"/>
      <c r="N36" s="494"/>
    </row>
    <row r="37" spans="2:15" x14ac:dyDescent="0.25">
      <c r="B37" s="487" t="s">
        <v>346</v>
      </c>
      <c r="C37" s="497" t="s">
        <v>33</v>
      </c>
      <c r="D37" s="516"/>
      <c r="E37" s="497" t="s">
        <v>337</v>
      </c>
      <c r="F37" s="514" t="s">
        <v>84</v>
      </c>
      <c r="G37" s="514" t="s">
        <v>338</v>
      </c>
      <c r="H37" s="514" t="s">
        <v>339</v>
      </c>
      <c r="I37" s="514" t="s">
        <v>340</v>
      </c>
      <c r="J37" s="514" t="s">
        <v>341</v>
      </c>
      <c r="K37" s="514" t="s">
        <v>342</v>
      </c>
      <c r="L37" s="514" t="s">
        <v>343</v>
      </c>
      <c r="M37" s="514" t="s">
        <v>344</v>
      </c>
      <c r="N37" s="516" t="s">
        <v>355</v>
      </c>
    </row>
    <row r="38" spans="2:15" ht="15.75" thickBot="1" x14ac:dyDescent="0.3">
      <c r="B38" s="488"/>
      <c r="C38" s="260" t="s">
        <v>298</v>
      </c>
      <c r="D38" s="261" t="s">
        <v>297</v>
      </c>
      <c r="E38" s="513"/>
      <c r="F38" s="515"/>
      <c r="G38" s="515"/>
      <c r="H38" s="515"/>
      <c r="I38" s="515"/>
      <c r="J38" s="515"/>
      <c r="K38" s="515"/>
      <c r="L38" s="515"/>
      <c r="M38" s="515"/>
      <c r="N38" s="521"/>
    </row>
    <row r="39" spans="2:15" x14ac:dyDescent="0.25">
      <c r="B39" s="234" t="s">
        <v>27</v>
      </c>
      <c r="C39" s="500" t="s">
        <v>356</v>
      </c>
      <c r="D39" s="506" t="s">
        <v>357</v>
      </c>
      <c r="E39" s="246" t="s">
        <v>37</v>
      </c>
      <c r="F39" s="332">
        <v>8.3829999999999991</v>
      </c>
      <c r="G39" s="332">
        <v>8.3829999999999991</v>
      </c>
      <c r="H39" s="332">
        <v>7.55</v>
      </c>
      <c r="I39" s="332">
        <v>6.61</v>
      </c>
      <c r="J39" s="332">
        <v>7.33</v>
      </c>
      <c r="K39" s="332">
        <v>7.29</v>
      </c>
      <c r="L39" s="332">
        <v>6.76</v>
      </c>
      <c r="M39" s="332">
        <v>7.87</v>
      </c>
      <c r="N39" s="333">
        <v>7.87</v>
      </c>
      <c r="O39" s="336">
        <f>MAX(E39:N45)</f>
        <v>8.4410000000000007</v>
      </c>
    </row>
    <row r="40" spans="2:15" x14ac:dyDescent="0.25">
      <c r="B40" s="235" t="s">
        <v>28</v>
      </c>
      <c r="C40" s="500"/>
      <c r="D40" s="506"/>
      <c r="E40" s="250" t="s">
        <v>37</v>
      </c>
      <c r="F40" s="294">
        <v>8.26</v>
      </c>
      <c r="G40" s="294">
        <v>8.26</v>
      </c>
      <c r="H40" s="294">
        <v>7.4340000000000002</v>
      </c>
      <c r="I40" s="294">
        <v>6.68</v>
      </c>
      <c r="J40" s="294">
        <v>7.25</v>
      </c>
      <c r="K40" s="294">
        <v>6.61</v>
      </c>
      <c r="L40" s="294">
        <v>6.88</v>
      </c>
      <c r="M40" s="294">
        <v>7.54</v>
      </c>
      <c r="N40" s="334">
        <v>7.54</v>
      </c>
      <c r="O40" s="336">
        <f>MIN(E39:N45)</f>
        <v>6.12</v>
      </c>
    </row>
    <row r="41" spans="2:15" x14ac:dyDescent="0.25">
      <c r="B41" s="235" t="s">
        <v>29</v>
      </c>
      <c r="C41" s="500"/>
      <c r="D41" s="506"/>
      <c r="E41" s="250" t="s">
        <v>37</v>
      </c>
      <c r="F41" s="294">
        <v>7.9619999999999997</v>
      </c>
      <c r="G41" s="294">
        <v>7.9619999999999997</v>
      </c>
      <c r="H41" s="294">
        <v>7.6040000000000001</v>
      </c>
      <c r="I41" s="295">
        <v>6.12</v>
      </c>
      <c r="J41" s="294">
        <v>7.34</v>
      </c>
      <c r="K41" s="294">
        <v>7.03</v>
      </c>
      <c r="L41" s="294">
        <v>6.9</v>
      </c>
      <c r="M41" s="294">
        <v>7.23</v>
      </c>
      <c r="N41" s="334">
        <v>7.23</v>
      </c>
    </row>
    <row r="42" spans="2:15" x14ac:dyDescent="0.25">
      <c r="B42" s="235" t="s">
        <v>30</v>
      </c>
      <c r="C42" s="500"/>
      <c r="D42" s="506"/>
      <c r="E42" s="250" t="s">
        <v>37</v>
      </c>
      <c r="F42" s="294">
        <v>7.944</v>
      </c>
      <c r="G42" s="294">
        <v>7.944</v>
      </c>
      <c r="H42" s="294">
        <v>7.7220000000000004</v>
      </c>
      <c r="I42" s="294">
        <v>6.91</v>
      </c>
      <c r="J42" s="294">
        <v>7.41</v>
      </c>
      <c r="K42" s="294">
        <v>7.52</v>
      </c>
      <c r="L42" s="294">
        <v>6.84</v>
      </c>
      <c r="M42" s="294">
        <v>7.54</v>
      </c>
      <c r="N42" s="334">
        <v>7.54</v>
      </c>
    </row>
    <row r="43" spans="2:15" x14ac:dyDescent="0.25">
      <c r="B43" s="235" t="s">
        <v>31</v>
      </c>
      <c r="C43" s="500"/>
      <c r="D43" s="506"/>
      <c r="E43" s="250" t="s">
        <v>37</v>
      </c>
      <c r="F43" s="294">
        <v>7.9829999999999997</v>
      </c>
      <c r="G43" s="294">
        <v>7.9829999999999997</v>
      </c>
      <c r="H43" s="294">
        <v>7.8129999999999997</v>
      </c>
      <c r="I43" s="294">
        <v>7.03</v>
      </c>
      <c r="J43" s="294">
        <v>7.49</v>
      </c>
      <c r="K43" s="294">
        <v>7.75</v>
      </c>
      <c r="L43" s="294">
        <v>6.95</v>
      </c>
      <c r="M43" s="294">
        <v>7.84</v>
      </c>
      <c r="N43" s="334">
        <v>7.84</v>
      </c>
    </row>
    <row r="44" spans="2:15" x14ac:dyDescent="0.25">
      <c r="B44" s="235" t="s">
        <v>25</v>
      </c>
      <c r="C44" s="500"/>
      <c r="D44" s="506"/>
      <c r="E44" s="250" t="s">
        <v>37</v>
      </c>
      <c r="F44" s="327">
        <v>8.4410000000000007</v>
      </c>
      <c r="G44" s="327">
        <v>8.4410000000000007</v>
      </c>
      <c r="H44" s="294">
        <v>8.1489999999999991</v>
      </c>
      <c r="I44" s="294">
        <v>7.4</v>
      </c>
      <c r="J44" s="294">
        <v>7.74</v>
      </c>
      <c r="K44" s="294">
        <v>8.2100000000000009</v>
      </c>
      <c r="L44" s="294">
        <v>7.2</v>
      </c>
      <c r="M44" s="294">
        <v>8.25</v>
      </c>
      <c r="N44" s="334">
        <v>8.25</v>
      </c>
    </row>
    <row r="45" spans="2:15" ht="15.75" thickBot="1" x14ac:dyDescent="0.3">
      <c r="B45" s="236" t="s">
        <v>32</v>
      </c>
      <c r="C45" s="501"/>
      <c r="D45" s="507"/>
      <c r="E45" s="252" t="s">
        <v>37</v>
      </c>
      <c r="F45" s="296">
        <v>8.2530000000000001</v>
      </c>
      <c r="G45" s="296">
        <v>8.2530000000000001</v>
      </c>
      <c r="H45" s="296">
        <v>8.0549999999999997</v>
      </c>
      <c r="I45" s="296">
        <v>7.41</v>
      </c>
      <c r="J45" s="296">
        <v>7.67</v>
      </c>
      <c r="K45" s="296">
        <v>8</v>
      </c>
      <c r="L45" s="296">
        <v>7.12</v>
      </c>
      <c r="M45" s="296">
        <v>7.93</v>
      </c>
      <c r="N45" s="335">
        <v>7.93</v>
      </c>
    </row>
    <row r="46" spans="2:15" ht="15.75" thickBot="1" x14ac:dyDescent="0.3"/>
    <row r="47" spans="2:15" ht="15.75" thickBot="1" x14ac:dyDescent="0.3">
      <c r="B47" s="510" t="s">
        <v>349</v>
      </c>
      <c r="C47" s="511"/>
      <c r="D47" s="511"/>
      <c r="E47" s="511"/>
      <c r="F47" s="511"/>
      <c r="G47" s="511"/>
      <c r="H47" s="511"/>
      <c r="I47" s="511"/>
      <c r="J47" s="511"/>
      <c r="K47" s="511"/>
      <c r="L47" s="511"/>
      <c r="M47" s="511"/>
      <c r="N47" s="512"/>
    </row>
    <row r="48" spans="2:15" ht="15.75" thickBot="1" x14ac:dyDescent="0.3">
      <c r="B48" s="487" t="s">
        <v>346</v>
      </c>
      <c r="C48" s="497" t="s">
        <v>33</v>
      </c>
      <c r="D48" s="516"/>
      <c r="E48" s="237" t="s">
        <v>337</v>
      </c>
      <c r="F48" s="237" t="s">
        <v>84</v>
      </c>
      <c r="G48" s="237" t="s">
        <v>338</v>
      </c>
      <c r="H48" s="237" t="s">
        <v>339</v>
      </c>
      <c r="I48" s="237" t="s">
        <v>340</v>
      </c>
      <c r="J48" s="237" t="s">
        <v>341</v>
      </c>
      <c r="K48" s="237" t="s">
        <v>342</v>
      </c>
      <c r="L48" s="237" t="s">
        <v>343</v>
      </c>
      <c r="M48" s="237" t="s">
        <v>344</v>
      </c>
      <c r="N48" s="237" t="s">
        <v>355</v>
      </c>
    </row>
    <row r="49" spans="2:15" ht="15.75" thickBot="1" x14ac:dyDescent="0.3">
      <c r="B49" s="488"/>
      <c r="C49" s="260" t="s">
        <v>298</v>
      </c>
      <c r="D49" s="261" t="s">
        <v>297</v>
      </c>
      <c r="E49" s="237" t="s">
        <v>40</v>
      </c>
      <c r="F49" s="237" t="s">
        <v>40</v>
      </c>
      <c r="G49" s="237" t="s">
        <v>40</v>
      </c>
      <c r="H49" s="237" t="s">
        <v>40</v>
      </c>
      <c r="I49" s="237" t="s">
        <v>40</v>
      </c>
      <c r="J49" s="237" t="s">
        <v>40</v>
      </c>
      <c r="K49" s="237" t="s">
        <v>40</v>
      </c>
      <c r="L49" s="237" t="s">
        <v>40</v>
      </c>
      <c r="M49" s="237" t="s">
        <v>40</v>
      </c>
      <c r="N49" s="237" t="s">
        <v>40</v>
      </c>
    </row>
    <row r="50" spans="2:15" x14ac:dyDescent="0.25">
      <c r="B50" s="234" t="s">
        <v>27</v>
      </c>
      <c r="C50" s="500" t="s">
        <v>350</v>
      </c>
      <c r="D50" s="506" t="s">
        <v>350</v>
      </c>
      <c r="E50" s="263" t="s">
        <v>37</v>
      </c>
      <c r="F50" s="266">
        <v>26.5</v>
      </c>
      <c r="G50" s="272">
        <v>27</v>
      </c>
      <c r="H50" s="272">
        <v>24</v>
      </c>
      <c r="I50" s="266">
        <v>23.4</v>
      </c>
      <c r="J50" s="266">
        <v>21.6</v>
      </c>
      <c r="K50" s="272">
        <v>25</v>
      </c>
      <c r="L50" s="266">
        <v>24.8</v>
      </c>
      <c r="M50" s="266">
        <v>26.6</v>
      </c>
      <c r="N50" s="269">
        <v>29.2</v>
      </c>
      <c r="O50" s="51">
        <f>MAX(E50:N56)</f>
        <v>29.2</v>
      </c>
    </row>
    <row r="51" spans="2:15" x14ac:dyDescent="0.25">
      <c r="B51" s="235" t="s">
        <v>28</v>
      </c>
      <c r="C51" s="500"/>
      <c r="D51" s="506"/>
      <c r="E51" s="264" t="s">
        <v>37</v>
      </c>
      <c r="F51" s="267">
        <v>26.1</v>
      </c>
      <c r="G51" s="267">
        <v>26.3</v>
      </c>
      <c r="H51" s="267">
        <v>23.8</v>
      </c>
      <c r="I51" s="267">
        <v>24.2</v>
      </c>
      <c r="J51" s="267">
        <v>21.6</v>
      </c>
      <c r="K51" s="267">
        <v>24.9</v>
      </c>
      <c r="L51" s="267">
        <v>23.8</v>
      </c>
      <c r="M51" s="267">
        <v>26.4</v>
      </c>
      <c r="N51" s="267">
        <v>28.4</v>
      </c>
      <c r="O51" s="51">
        <f>MIN(E50:N56)</f>
        <v>20.5</v>
      </c>
    </row>
    <row r="52" spans="2:15" x14ac:dyDescent="0.25">
      <c r="B52" s="235" t="s">
        <v>29</v>
      </c>
      <c r="C52" s="500"/>
      <c r="D52" s="506"/>
      <c r="E52" s="264" t="s">
        <v>37</v>
      </c>
      <c r="F52" s="267">
        <v>25.7</v>
      </c>
      <c r="G52" s="267">
        <v>26.7</v>
      </c>
      <c r="H52" s="267">
        <v>23.9</v>
      </c>
      <c r="I52" s="275">
        <v>24</v>
      </c>
      <c r="J52" s="267">
        <v>21.6</v>
      </c>
      <c r="K52" s="267">
        <v>25.2</v>
      </c>
      <c r="L52" s="267">
        <v>24.5</v>
      </c>
      <c r="M52" s="267">
        <v>26.5</v>
      </c>
      <c r="N52" s="267">
        <v>28.9</v>
      </c>
    </row>
    <row r="53" spans="2:15" x14ac:dyDescent="0.25">
      <c r="B53" s="235" t="s">
        <v>30</v>
      </c>
      <c r="C53" s="500"/>
      <c r="D53" s="506"/>
      <c r="E53" s="264" t="s">
        <v>37</v>
      </c>
      <c r="F53" s="267">
        <v>25.9</v>
      </c>
      <c r="G53" s="267">
        <v>26.7</v>
      </c>
      <c r="H53" s="267">
        <v>24.1</v>
      </c>
      <c r="I53" s="267">
        <v>24.4</v>
      </c>
      <c r="J53" s="267">
        <v>21.7</v>
      </c>
      <c r="K53" s="267">
        <v>24.2</v>
      </c>
      <c r="L53" s="267">
        <v>24.6</v>
      </c>
      <c r="M53" s="267">
        <v>26.5</v>
      </c>
      <c r="N53" s="267">
        <v>28.9</v>
      </c>
    </row>
    <row r="54" spans="2:15" x14ac:dyDescent="0.25">
      <c r="B54" s="235" t="s">
        <v>31</v>
      </c>
      <c r="C54" s="500"/>
      <c r="D54" s="506"/>
      <c r="E54" s="264" t="s">
        <v>37</v>
      </c>
      <c r="F54" s="267">
        <v>25.9</v>
      </c>
      <c r="G54" s="267">
        <v>26.6</v>
      </c>
      <c r="H54" s="275">
        <v>24</v>
      </c>
      <c r="I54" s="275">
        <v>23</v>
      </c>
      <c r="J54" s="267">
        <v>21.7</v>
      </c>
      <c r="K54" s="267">
        <v>23.2</v>
      </c>
      <c r="L54" s="267">
        <v>24.2</v>
      </c>
      <c r="M54" s="267">
        <v>26.8</v>
      </c>
      <c r="N54" s="275">
        <v>28</v>
      </c>
    </row>
    <row r="55" spans="2:15" x14ac:dyDescent="0.25">
      <c r="B55" s="235" t="s">
        <v>25</v>
      </c>
      <c r="C55" s="500"/>
      <c r="D55" s="506"/>
      <c r="E55" s="264" t="s">
        <v>37</v>
      </c>
      <c r="F55" s="267">
        <v>24.9</v>
      </c>
      <c r="G55" s="267">
        <v>23.2</v>
      </c>
      <c r="H55" s="267">
        <v>23.9</v>
      </c>
      <c r="I55" s="267">
        <v>23.3</v>
      </c>
      <c r="J55" s="267">
        <v>21.6</v>
      </c>
      <c r="K55" s="267">
        <v>21.5</v>
      </c>
      <c r="L55" s="275">
        <v>22</v>
      </c>
      <c r="M55" s="267">
        <v>22.8</v>
      </c>
      <c r="N55" s="267">
        <v>22.9</v>
      </c>
    </row>
    <row r="56" spans="2:15" ht="15.75" thickBot="1" x14ac:dyDescent="0.3">
      <c r="B56" s="236" t="s">
        <v>32</v>
      </c>
      <c r="C56" s="501"/>
      <c r="D56" s="507"/>
      <c r="E56" s="265" t="s">
        <v>37</v>
      </c>
      <c r="F56" s="268">
        <v>23.6</v>
      </c>
      <c r="G56" s="268">
        <v>22.7</v>
      </c>
      <c r="H56" s="268">
        <v>23.9</v>
      </c>
      <c r="I56" s="268">
        <v>22.7</v>
      </c>
      <c r="J56" s="268">
        <v>21.8</v>
      </c>
      <c r="K56" s="233">
        <v>20.5</v>
      </c>
      <c r="L56" s="268">
        <v>22.4</v>
      </c>
      <c r="M56" s="268">
        <v>23.8</v>
      </c>
      <c r="N56" s="268">
        <v>22.5</v>
      </c>
    </row>
    <row r="58" spans="2:15" ht="15.75" thickBot="1" x14ac:dyDescent="0.3"/>
    <row r="59" spans="2:15" ht="15.75" thickBot="1" x14ac:dyDescent="0.3">
      <c r="B59" s="510" t="s">
        <v>358</v>
      </c>
      <c r="C59" s="511"/>
      <c r="D59" s="511"/>
      <c r="E59" s="511"/>
      <c r="F59" s="511"/>
      <c r="G59" s="511"/>
      <c r="H59" s="511"/>
      <c r="I59" s="511"/>
      <c r="J59" s="511"/>
      <c r="K59" s="520"/>
      <c r="L59" s="511"/>
      <c r="M59" s="511"/>
      <c r="N59" s="512"/>
    </row>
    <row r="60" spans="2:15" ht="15.75" thickBot="1" x14ac:dyDescent="0.3">
      <c r="B60" s="487" t="s">
        <v>346</v>
      </c>
      <c r="C60" s="497" t="s">
        <v>33</v>
      </c>
      <c r="D60" s="516"/>
      <c r="E60" s="237" t="s">
        <v>337</v>
      </c>
      <c r="F60" s="237" t="s">
        <v>84</v>
      </c>
      <c r="G60" s="237" t="s">
        <v>338</v>
      </c>
      <c r="H60" s="237" t="s">
        <v>339</v>
      </c>
      <c r="I60" s="237" t="s">
        <v>340</v>
      </c>
      <c r="J60" s="237" t="s">
        <v>341</v>
      </c>
      <c r="K60" s="237" t="s">
        <v>342</v>
      </c>
      <c r="L60" s="237" t="s">
        <v>343</v>
      </c>
      <c r="M60" s="237" t="s">
        <v>344</v>
      </c>
      <c r="N60" s="237" t="s">
        <v>355</v>
      </c>
    </row>
    <row r="61" spans="2:15" ht="15.75" thickBot="1" x14ac:dyDescent="0.3">
      <c r="B61" s="488"/>
      <c r="C61" s="260" t="s">
        <v>298</v>
      </c>
      <c r="D61" s="261" t="s">
        <v>297</v>
      </c>
      <c r="E61" s="240" t="s">
        <v>24</v>
      </c>
      <c r="F61" s="240" t="s">
        <v>24</v>
      </c>
      <c r="G61" s="240" t="s">
        <v>24</v>
      </c>
      <c r="H61" s="240" t="s">
        <v>24</v>
      </c>
      <c r="I61" s="240" t="s">
        <v>24</v>
      </c>
      <c r="J61" s="276" t="s">
        <v>24</v>
      </c>
      <c r="K61" s="240" t="s">
        <v>24</v>
      </c>
      <c r="L61" s="281" t="s">
        <v>24</v>
      </c>
      <c r="M61" s="240" t="s">
        <v>24</v>
      </c>
      <c r="N61" s="240" t="s">
        <v>24</v>
      </c>
    </row>
    <row r="62" spans="2:15" x14ac:dyDescent="0.25">
      <c r="B62" s="234" t="s">
        <v>27</v>
      </c>
      <c r="C62" s="500">
        <v>1000</v>
      </c>
      <c r="D62" s="506">
        <v>1000</v>
      </c>
      <c r="E62" s="267">
        <v>140</v>
      </c>
      <c r="F62" s="267">
        <v>140</v>
      </c>
      <c r="G62" s="267">
        <v>198</v>
      </c>
      <c r="H62" s="267">
        <v>170</v>
      </c>
      <c r="I62" s="267">
        <v>195</v>
      </c>
      <c r="J62" s="279">
        <v>220</v>
      </c>
      <c r="K62" s="278">
        <v>185</v>
      </c>
      <c r="L62" s="282">
        <v>200</v>
      </c>
      <c r="M62" s="267">
        <v>175</v>
      </c>
      <c r="N62" s="267">
        <v>200</v>
      </c>
      <c r="O62" s="51">
        <f>MAX(E62:N68)</f>
        <v>540</v>
      </c>
    </row>
    <row r="63" spans="2:15" x14ac:dyDescent="0.25">
      <c r="B63" s="235" t="s">
        <v>28</v>
      </c>
      <c r="C63" s="500"/>
      <c r="D63" s="506"/>
      <c r="E63" s="267">
        <v>132</v>
      </c>
      <c r="F63" s="267">
        <v>108</v>
      </c>
      <c r="G63" s="267">
        <v>111</v>
      </c>
      <c r="H63" s="267">
        <v>115</v>
      </c>
      <c r="I63" s="267">
        <v>170</v>
      </c>
      <c r="J63" s="279">
        <v>140</v>
      </c>
      <c r="K63" s="267">
        <v>140</v>
      </c>
      <c r="L63" s="282">
        <v>150</v>
      </c>
      <c r="M63" s="267">
        <v>190</v>
      </c>
      <c r="N63" s="267">
        <v>220</v>
      </c>
      <c r="O63" s="51">
        <f>MIN(E62:N68)</f>
        <v>62</v>
      </c>
    </row>
    <row r="64" spans="2:15" x14ac:dyDescent="0.25">
      <c r="B64" s="235" t="s">
        <v>29</v>
      </c>
      <c r="C64" s="500"/>
      <c r="D64" s="506"/>
      <c r="E64" s="267">
        <v>138</v>
      </c>
      <c r="F64" s="267">
        <v>118</v>
      </c>
      <c r="G64" s="267">
        <v>192</v>
      </c>
      <c r="H64" s="267">
        <v>130</v>
      </c>
      <c r="I64" s="267">
        <v>175</v>
      </c>
      <c r="J64" s="279">
        <v>230</v>
      </c>
      <c r="K64" s="267">
        <v>165</v>
      </c>
      <c r="L64" s="282">
        <v>190</v>
      </c>
      <c r="M64" s="267">
        <v>160</v>
      </c>
      <c r="N64" s="267">
        <v>200</v>
      </c>
    </row>
    <row r="65" spans="2:15" x14ac:dyDescent="0.25">
      <c r="B65" s="235" t="s">
        <v>30</v>
      </c>
      <c r="C65" s="500"/>
      <c r="D65" s="506"/>
      <c r="E65" s="267">
        <v>136</v>
      </c>
      <c r="F65" s="267">
        <v>240</v>
      </c>
      <c r="G65" s="267">
        <v>213</v>
      </c>
      <c r="H65" s="267">
        <v>110</v>
      </c>
      <c r="I65" s="267">
        <v>165</v>
      </c>
      <c r="J65" s="279">
        <v>230</v>
      </c>
      <c r="K65" s="267">
        <v>180</v>
      </c>
      <c r="L65" s="282">
        <v>195</v>
      </c>
      <c r="M65" s="267">
        <v>170</v>
      </c>
      <c r="N65" s="267">
        <v>190</v>
      </c>
    </row>
    <row r="66" spans="2:15" x14ac:dyDescent="0.25">
      <c r="B66" s="235" t="s">
        <v>31</v>
      </c>
      <c r="C66" s="500"/>
      <c r="D66" s="506"/>
      <c r="E66" s="267">
        <v>134</v>
      </c>
      <c r="F66" s="267">
        <v>100</v>
      </c>
      <c r="G66" s="267">
        <v>189</v>
      </c>
      <c r="H66" s="267">
        <v>135</v>
      </c>
      <c r="I66" s="267">
        <v>130</v>
      </c>
      <c r="J66" s="279">
        <v>205</v>
      </c>
      <c r="K66" s="267">
        <v>180</v>
      </c>
      <c r="L66" s="282">
        <v>230</v>
      </c>
      <c r="M66" s="267">
        <v>225</v>
      </c>
      <c r="N66" s="267">
        <v>165</v>
      </c>
    </row>
    <row r="67" spans="2:15" x14ac:dyDescent="0.25">
      <c r="B67" s="235" t="s">
        <v>25</v>
      </c>
      <c r="C67" s="500"/>
      <c r="D67" s="506"/>
      <c r="E67" s="267">
        <v>65</v>
      </c>
      <c r="F67" s="267">
        <v>74</v>
      </c>
      <c r="G67" s="267">
        <v>84</v>
      </c>
      <c r="H67" s="267">
        <v>400</v>
      </c>
      <c r="I67" s="267">
        <v>100</v>
      </c>
      <c r="J67" s="279">
        <v>130</v>
      </c>
      <c r="K67" s="267">
        <v>110</v>
      </c>
      <c r="L67" s="282">
        <v>100</v>
      </c>
      <c r="M67" s="267">
        <v>140</v>
      </c>
      <c r="N67" s="267">
        <v>125</v>
      </c>
    </row>
    <row r="68" spans="2:15" ht="15.75" thickBot="1" x14ac:dyDescent="0.3">
      <c r="B68" s="236" t="s">
        <v>32</v>
      </c>
      <c r="C68" s="501"/>
      <c r="D68" s="507"/>
      <c r="E68" s="233">
        <v>62</v>
      </c>
      <c r="F68" s="268">
        <v>66</v>
      </c>
      <c r="G68" s="268">
        <v>87</v>
      </c>
      <c r="H68" s="277">
        <v>540</v>
      </c>
      <c r="I68" s="268">
        <v>125</v>
      </c>
      <c r="J68" s="280">
        <v>120</v>
      </c>
      <c r="K68" s="268">
        <v>85</v>
      </c>
      <c r="L68" s="283">
        <v>95</v>
      </c>
      <c r="M68" s="268">
        <v>125</v>
      </c>
      <c r="N68" s="268">
        <v>130</v>
      </c>
    </row>
    <row r="69" spans="2:15" ht="15.75" thickBot="1" x14ac:dyDescent="0.3"/>
    <row r="70" spans="2:15" ht="15.75" thickBot="1" x14ac:dyDescent="0.3">
      <c r="B70" s="510" t="s">
        <v>359</v>
      </c>
      <c r="C70" s="511"/>
      <c r="D70" s="511"/>
      <c r="E70" s="511"/>
      <c r="F70" s="511"/>
      <c r="G70" s="511"/>
      <c r="H70" s="511"/>
      <c r="I70" s="511"/>
      <c r="J70" s="511"/>
      <c r="K70" s="511"/>
      <c r="L70" s="511"/>
      <c r="M70" s="511"/>
      <c r="N70" s="512"/>
    </row>
    <row r="71" spans="2:15" ht="15.75" thickBot="1" x14ac:dyDescent="0.3">
      <c r="B71" s="487" t="s">
        <v>346</v>
      </c>
      <c r="C71" s="497" t="s">
        <v>33</v>
      </c>
      <c r="D71" s="516"/>
      <c r="E71" s="237" t="s">
        <v>337</v>
      </c>
      <c r="F71" s="237" t="s">
        <v>84</v>
      </c>
      <c r="G71" s="237" t="s">
        <v>338</v>
      </c>
      <c r="H71" s="237" t="s">
        <v>339</v>
      </c>
      <c r="I71" s="237" t="s">
        <v>340</v>
      </c>
      <c r="J71" s="237" t="s">
        <v>341</v>
      </c>
      <c r="K71" s="237" t="s">
        <v>342</v>
      </c>
      <c r="L71" s="237" t="s">
        <v>343</v>
      </c>
      <c r="M71" s="237" t="s">
        <v>344</v>
      </c>
      <c r="N71" s="237" t="s">
        <v>355</v>
      </c>
    </row>
    <row r="72" spans="2:15" ht="15.75" thickBot="1" x14ac:dyDescent="0.3">
      <c r="B72" s="488"/>
      <c r="C72" s="260" t="s">
        <v>298</v>
      </c>
      <c r="D72" s="261" t="s">
        <v>297</v>
      </c>
      <c r="E72" s="240" t="s">
        <v>24</v>
      </c>
      <c r="F72" s="240" t="s">
        <v>24</v>
      </c>
      <c r="G72" s="240" t="s">
        <v>24</v>
      </c>
      <c r="H72" s="240" t="s">
        <v>24</v>
      </c>
      <c r="I72" s="240" t="s">
        <v>24</v>
      </c>
      <c r="J72" s="240" t="s">
        <v>24</v>
      </c>
      <c r="K72" s="240" t="s">
        <v>24</v>
      </c>
      <c r="L72" s="240" t="s">
        <v>24</v>
      </c>
      <c r="M72" s="240" t="s">
        <v>24</v>
      </c>
      <c r="N72" s="240" t="s">
        <v>24</v>
      </c>
    </row>
    <row r="73" spans="2:15" x14ac:dyDescent="0.25">
      <c r="B73" s="234" t="s">
        <v>27</v>
      </c>
      <c r="C73" s="500">
        <v>500</v>
      </c>
      <c r="D73" s="506" t="s">
        <v>350</v>
      </c>
      <c r="E73" s="243">
        <v>5.9</v>
      </c>
      <c r="F73" s="285">
        <v>976</v>
      </c>
      <c r="G73" s="243">
        <v>52.800000000000004</v>
      </c>
      <c r="H73" s="243">
        <v>331.2</v>
      </c>
      <c r="I73" s="243"/>
      <c r="J73" s="243"/>
      <c r="K73" s="243"/>
      <c r="L73" s="243"/>
      <c r="M73" s="243">
        <v>341.89398000000006</v>
      </c>
      <c r="N73" s="243">
        <v>191.94047999999998</v>
      </c>
      <c r="O73" s="51">
        <f>MAX(E73:N79)</f>
        <v>976</v>
      </c>
    </row>
    <row r="74" spans="2:15" x14ac:dyDescent="0.25">
      <c r="B74" s="235" t="s">
        <v>28</v>
      </c>
      <c r="C74" s="500"/>
      <c r="D74" s="506"/>
      <c r="E74" s="243">
        <v>6.9</v>
      </c>
      <c r="F74" s="243">
        <v>698</v>
      </c>
      <c r="G74" s="243">
        <v>51.900000000000006</v>
      </c>
      <c r="H74" s="243">
        <v>76.400000000000006</v>
      </c>
      <c r="I74" s="243"/>
      <c r="J74" s="243"/>
      <c r="K74" s="243"/>
      <c r="L74" s="243"/>
      <c r="M74" s="243">
        <v>352.39072500000003</v>
      </c>
      <c r="N74" s="243">
        <v>229.428855</v>
      </c>
      <c r="O74" s="51">
        <f>MIN(E73:N79)</f>
        <v>3.3</v>
      </c>
    </row>
    <row r="75" spans="2:15" x14ac:dyDescent="0.25">
      <c r="B75" s="235" t="s">
        <v>29</v>
      </c>
      <c r="C75" s="500"/>
      <c r="D75" s="506"/>
      <c r="E75" s="286">
        <v>3.3</v>
      </c>
      <c r="F75" s="243">
        <v>907</v>
      </c>
      <c r="G75" s="243">
        <v>15</v>
      </c>
      <c r="H75" s="243">
        <v>26.8</v>
      </c>
      <c r="I75" s="243"/>
      <c r="J75" s="243"/>
      <c r="K75" s="243"/>
      <c r="L75" s="243"/>
      <c r="M75" s="243">
        <v>278.91350999999997</v>
      </c>
      <c r="N75" s="243">
        <v>278.91350999999997</v>
      </c>
    </row>
    <row r="76" spans="2:15" x14ac:dyDescent="0.25">
      <c r="B76" s="235" t="s">
        <v>30</v>
      </c>
      <c r="C76" s="500"/>
      <c r="D76" s="506"/>
      <c r="E76" s="243">
        <v>5.6</v>
      </c>
      <c r="F76" s="243">
        <v>850</v>
      </c>
      <c r="G76" s="243">
        <v>23.700000000000003</v>
      </c>
      <c r="H76" s="243">
        <v>46.4</v>
      </c>
      <c r="I76" s="243"/>
      <c r="J76" s="243"/>
      <c r="K76" s="243"/>
      <c r="L76" s="243"/>
      <c r="M76" s="243">
        <v>200.93769</v>
      </c>
      <c r="N76" s="243">
        <v>185.94234</v>
      </c>
    </row>
    <row r="77" spans="2:15" x14ac:dyDescent="0.25">
      <c r="B77" s="235" t="s">
        <v>31</v>
      </c>
      <c r="C77" s="500"/>
      <c r="D77" s="506"/>
      <c r="E77" s="243">
        <v>7.9</v>
      </c>
      <c r="F77" s="243">
        <v>630</v>
      </c>
      <c r="G77" s="243">
        <v>30.900000000000002</v>
      </c>
      <c r="H77" s="243">
        <v>43.2</v>
      </c>
      <c r="I77" s="243"/>
      <c r="J77" s="243"/>
      <c r="K77" s="243"/>
      <c r="L77" s="243"/>
      <c r="M77" s="243">
        <v>182.94326999999998</v>
      </c>
      <c r="N77" s="243">
        <v>182.94326999999998</v>
      </c>
    </row>
    <row r="78" spans="2:15" x14ac:dyDescent="0.25">
      <c r="B78" s="235" t="s">
        <v>25</v>
      </c>
      <c r="C78" s="500"/>
      <c r="D78" s="506"/>
      <c r="E78" s="243">
        <v>4.3</v>
      </c>
      <c r="F78" s="243">
        <v>143</v>
      </c>
      <c r="G78" s="243">
        <v>7.5</v>
      </c>
      <c r="H78" s="243">
        <v>157.6</v>
      </c>
      <c r="I78" s="243"/>
      <c r="J78" s="243"/>
      <c r="K78" s="243"/>
      <c r="L78" s="243"/>
      <c r="M78" s="243">
        <v>71.977679999999992</v>
      </c>
      <c r="N78" s="243">
        <v>50.984189999999998</v>
      </c>
    </row>
    <row r="79" spans="2:15" ht="15.75" thickBot="1" x14ac:dyDescent="0.3">
      <c r="B79" s="236" t="s">
        <v>32</v>
      </c>
      <c r="C79" s="501"/>
      <c r="D79" s="507"/>
      <c r="E79" s="244">
        <v>4.4000000000000004</v>
      </c>
      <c r="F79" s="244">
        <v>117</v>
      </c>
      <c r="G79" s="244">
        <v>13.5</v>
      </c>
      <c r="H79" s="244">
        <v>22.4</v>
      </c>
      <c r="I79" s="244"/>
      <c r="J79" s="244"/>
      <c r="K79" s="244"/>
      <c r="L79" s="244"/>
      <c r="M79" s="244">
        <v>38.987909999999999</v>
      </c>
      <c r="N79" s="244">
        <v>41.986979999999988</v>
      </c>
    </row>
    <row r="80" spans="2:15" ht="15.75" thickBot="1" x14ac:dyDescent="0.3"/>
    <row r="81" spans="2:15" ht="15.75" thickBot="1" x14ac:dyDescent="0.3">
      <c r="B81" s="510" t="s">
        <v>360</v>
      </c>
      <c r="C81" s="511"/>
      <c r="D81" s="511"/>
      <c r="E81" s="511"/>
      <c r="F81" s="511"/>
      <c r="G81" s="511"/>
      <c r="H81" s="511"/>
      <c r="I81" s="511"/>
      <c r="J81" s="511"/>
      <c r="K81" s="511"/>
      <c r="L81" s="511"/>
      <c r="M81" s="511"/>
      <c r="N81" s="512"/>
    </row>
    <row r="82" spans="2:15" ht="15.75" thickBot="1" x14ac:dyDescent="0.3">
      <c r="B82" s="487" t="s">
        <v>346</v>
      </c>
      <c r="C82" s="497" t="s">
        <v>33</v>
      </c>
      <c r="D82" s="498"/>
      <c r="E82" s="290" t="s">
        <v>337</v>
      </c>
      <c r="F82" s="290" t="s">
        <v>84</v>
      </c>
      <c r="G82" s="290" t="s">
        <v>338</v>
      </c>
      <c r="H82" s="290" t="s">
        <v>339</v>
      </c>
      <c r="I82" s="290" t="s">
        <v>340</v>
      </c>
      <c r="J82" s="290" t="s">
        <v>341</v>
      </c>
      <c r="K82" s="290" t="s">
        <v>342</v>
      </c>
      <c r="L82" s="290" t="s">
        <v>343</v>
      </c>
      <c r="M82" s="290" t="s">
        <v>344</v>
      </c>
      <c r="N82" s="290" t="s">
        <v>355</v>
      </c>
    </row>
    <row r="83" spans="2:15" ht="15.75" thickBot="1" x14ac:dyDescent="0.3">
      <c r="B83" s="488"/>
      <c r="C83" s="260" t="s">
        <v>298</v>
      </c>
      <c r="D83" s="257" t="s">
        <v>297</v>
      </c>
      <c r="E83" s="237" t="s">
        <v>24</v>
      </c>
      <c r="F83" s="237" t="s">
        <v>24</v>
      </c>
      <c r="G83" s="237" t="s">
        <v>24</v>
      </c>
      <c r="H83" s="237" t="s">
        <v>24</v>
      </c>
      <c r="I83" s="237" t="s">
        <v>24</v>
      </c>
      <c r="J83" s="237" t="s">
        <v>24</v>
      </c>
      <c r="K83" s="237" t="s">
        <v>24</v>
      </c>
      <c r="L83" s="237" t="s">
        <v>24</v>
      </c>
      <c r="M83" s="237" t="s">
        <v>24</v>
      </c>
      <c r="N83" s="237" t="s">
        <v>24</v>
      </c>
    </row>
    <row r="84" spans="2:15" x14ac:dyDescent="0.25">
      <c r="B84" s="234" t="s">
        <v>27</v>
      </c>
      <c r="C84" s="500">
        <v>100</v>
      </c>
      <c r="D84" s="503">
        <v>100</v>
      </c>
      <c r="E84" s="275">
        <v>5.4</v>
      </c>
      <c r="F84" s="275">
        <v>6.8</v>
      </c>
      <c r="G84" s="275">
        <v>9.8000000000000007</v>
      </c>
      <c r="H84" s="275" t="s">
        <v>323</v>
      </c>
      <c r="I84" s="275">
        <v>4.3</v>
      </c>
      <c r="J84" s="275">
        <v>3.1</v>
      </c>
      <c r="K84" s="275">
        <v>5.4</v>
      </c>
      <c r="L84" s="275">
        <v>12.4</v>
      </c>
      <c r="M84" s="275">
        <v>10.8</v>
      </c>
      <c r="N84" s="275">
        <v>9.1999999999999993</v>
      </c>
      <c r="O84" s="51">
        <f>MAX(E84:N90)</f>
        <v>13.7</v>
      </c>
    </row>
    <row r="85" spans="2:15" x14ac:dyDescent="0.25">
      <c r="B85" s="235" t="s">
        <v>28</v>
      </c>
      <c r="C85" s="500"/>
      <c r="D85" s="503"/>
      <c r="E85" s="275">
        <v>6.5</v>
      </c>
      <c r="F85" s="275">
        <v>5.5</v>
      </c>
      <c r="G85" s="275">
        <v>7</v>
      </c>
      <c r="H85" s="275">
        <v>6.5</v>
      </c>
      <c r="I85" s="275">
        <v>5.3</v>
      </c>
      <c r="J85" s="275">
        <v>4.0999999999999996</v>
      </c>
      <c r="K85" s="275">
        <v>4.7</v>
      </c>
      <c r="L85" s="275">
        <v>11.6</v>
      </c>
      <c r="M85" s="275">
        <v>10.199999999999999</v>
      </c>
      <c r="N85" s="275">
        <v>9.5</v>
      </c>
      <c r="O85" s="51">
        <f>MIN(E84:N90)</f>
        <v>0.5</v>
      </c>
    </row>
    <row r="86" spans="2:15" x14ac:dyDescent="0.25">
      <c r="B86" s="235" t="s">
        <v>29</v>
      </c>
      <c r="C86" s="500"/>
      <c r="D86" s="503"/>
      <c r="E86" s="275">
        <v>5.6</v>
      </c>
      <c r="F86" s="275">
        <v>5</v>
      </c>
      <c r="G86" s="275">
        <v>5.7</v>
      </c>
      <c r="H86" s="275">
        <v>5.6</v>
      </c>
      <c r="I86" s="275">
        <v>5.5</v>
      </c>
      <c r="J86" s="275">
        <v>3.1</v>
      </c>
      <c r="K86" s="275">
        <v>5.0999999999999996</v>
      </c>
      <c r="L86" s="275">
        <v>12.6</v>
      </c>
      <c r="M86" s="275">
        <v>9.3000000000000007</v>
      </c>
      <c r="N86" s="275">
        <v>9.3000000000000007</v>
      </c>
    </row>
    <row r="87" spans="2:15" x14ac:dyDescent="0.25">
      <c r="B87" s="235" t="s">
        <v>30</v>
      </c>
      <c r="C87" s="500"/>
      <c r="D87" s="503"/>
      <c r="E87" s="275">
        <v>5.2</v>
      </c>
      <c r="F87" s="275">
        <v>4.2</v>
      </c>
      <c r="G87" s="275">
        <v>2</v>
      </c>
      <c r="H87" s="275">
        <v>3.5</v>
      </c>
      <c r="I87" s="275">
        <v>5.2</v>
      </c>
      <c r="J87" s="275">
        <v>3.2</v>
      </c>
      <c r="K87" s="275">
        <v>5</v>
      </c>
      <c r="L87" s="275">
        <v>12.3</v>
      </c>
      <c r="M87" s="275">
        <v>9.5</v>
      </c>
      <c r="N87" s="275">
        <v>8.3000000000000007</v>
      </c>
    </row>
    <row r="88" spans="2:15" x14ac:dyDescent="0.25">
      <c r="B88" s="235" t="s">
        <v>31</v>
      </c>
      <c r="C88" s="500"/>
      <c r="D88" s="503"/>
      <c r="E88" s="275">
        <v>6.5</v>
      </c>
      <c r="F88" s="275">
        <v>3.1</v>
      </c>
      <c r="G88" s="275">
        <v>4.8</v>
      </c>
      <c r="H88" s="275">
        <v>4.2</v>
      </c>
      <c r="I88" s="275">
        <v>3.9</v>
      </c>
      <c r="J88" s="275">
        <v>3.4</v>
      </c>
      <c r="K88" s="275">
        <v>4.9000000000000004</v>
      </c>
      <c r="L88" s="293">
        <v>13.7</v>
      </c>
      <c r="M88" s="275">
        <v>8.8000000000000007</v>
      </c>
      <c r="N88" s="275">
        <v>8.8000000000000007</v>
      </c>
    </row>
    <row r="89" spans="2:15" x14ac:dyDescent="0.25">
      <c r="B89" s="235" t="s">
        <v>25</v>
      </c>
      <c r="C89" s="500"/>
      <c r="D89" s="503"/>
      <c r="E89" s="275">
        <v>3.4</v>
      </c>
      <c r="F89" s="275">
        <v>0.7</v>
      </c>
      <c r="G89" s="275">
        <v>2.6</v>
      </c>
      <c r="H89" s="275">
        <v>7.8</v>
      </c>
      <c r="I89" s="275">
        <v>0.8</v>
      </c>
      <c r="J89" s="292">
        <v>0.5</v>
      </c>
      <c r="K89" s="275">
        <v>1.1000000000000001</v>
      </c>
      <c r="L89" s="275">
        <v>10.3</v>
      </c>
      <c r="M89" s="275">
        <v>7.6</v>
      </c>
      <c r="N89" s="275">
        <v>1.3</v>
      </c>
    </row>
    <row r="90" spans="2:15" ht="15.75" thickBot="1" x14ac:dyDescent="0.3">
      <c r="B90" s="236" t="s">
        <v>32</v>
      </c>
      <c r="C90" s="501"/>
      <c r="D90" s="504"/>
      <c r="E90" s="291">
        <v>4.5999999999999996</v>
      </c>
      <c r="F90" s="291">
        <v>1</v>
      </c>
      <c r="G90" s="291">
        <v>1.5</v>
      </c>
      <c r="H90" s="291">
        <v>10</v>
      </c>
      <c r="I90" s="291">
        <v>1.1000000000000001</v>
      </c>
      <c r="J90" s="291">
        <v>1</v>
      </c>
      <c r="K90" s="291">
        <v>1.2</v>
      </c>
      <c r="L90" s="291">
        <v>11.2</v>
      </c>
      <c r="M90" s="291">
        <v>5</v>
      </c>
      <c r="N90" s="291">
        <v>0.9</v>
      </c>
    </row>
    <row r="91" spans="2:15" ht="15.75" thickBot="1" x14ac:dyDescent="0.3"/>
    <row r="92" spans="2:15" ht="15.75" thickBot="1" x14ac:dyDescent="0.3">
      <c r="B92" s="522" t="s">
        <v>361</v>
      </c>
      <c r="C92" s="520"/>
      <c r="D92" s="520"/>
      <c r="E92" s="520"/>
      <c r="F92" s="520"/>
      <c r="G92" s="520"/>
      <c r="H92" s="520"/>
      <c r="I92" s="520"/>
      <c r="J92" s="520"/>
      <c r="K92" s="520"/>
      <c r="L92" s="520"/>
      <c r="M92" s="520"/>
      <c r="N92" s="523"/>
    </row>
    <row r="93" spans="2:15" ht="15.75" thickBot="1" x14ac:dyDescent="0.3">
      <c r="B93" s="487" t="s">
        <v>346</v>
      </c>
      <c r="C93" s="497" t="s">
        <v>33</v>
      </c>
      <c r="D93" s="516"/>
      <c r="E93" s="234" t="s">
        <v>337</v>
      </c>
      <c r="F93" s="234" t="s">
        <v>84</v>
      </c>
      <c r="G93" s="234" t="s">
        <v>338</v>
      </c>
      <c r="H93" s="234" t="s">
        <v>339</v>
      </c>
      <c r="I93" s="234" t="s">
        <v>340</v>
      </c>
      <c r="J93" s="303" t="s">
        <v>341</v>
      </c>
      <c r="K93" s="237" t="s">
        <v>342</v>
      </c>
      <c r="L93" s="306" t="s">
        <v>343</v>
      </c>
      <c r="M93" s="237" t="s">
        <v>344</v>
      </c>
      <c r="N93" s="307" t="s">
        <v>355</v>
      </c>
    </row>
    <row r="94" spans="2:15" ht="15.75" thickBot="1" x14ac:dyDescent="0.3">
      <c r="B94" s="524"/>
      <c r="C94" s="260" t="s">
        <v>298</v>
      </c>
      <c r="D94" s="261" t="s">
        <v>297</v>
      </c>
      <c r="E94" s="237" t="s">
        <v>24</v>
      </c>
      <c r="F94" s="237" t="s">
        <v>24</v>
      </c>
      <c r="G94" s="237" t="s">
        <v>24</v>
      </c>
      <c r="H94" s="237" t="s">
        <v>24</v>
      </c>
      <c r="I94" s="237" t="s">
        <v>24</v>
      </c>
      <c r="J94" s="287" t="s">
        <v>24</v>
      </c>
      <c r="K94" s="237" t="s">
        <v>24</v>
      </c>
      <c r="L94" s="288" t="s">
        <v>24</v>
      </c>
      <c r="M94" s="237" t="s">
        <v>24</v>
      </c>
      <c r="N94" s="289" t="s">
        <v>24</v>
      </c>
    </row>
    <row r="95" spans="2:15" x14ac:dyDescent="0.25">
      <c r="B95" s="235" t="s">
        <v>27</v>
      </c>
      <c r="C95" s="500">
        <v>10</v>
      </c>
      <c r="D95" s="506">
        <v>10</v>
      </c>
      <c r="E95" s="275">
        <v>11</v>
      </c>
      <c r="F95" s="275"/>
      <c r="G95" s="275"/>
      <c r="H95" s="275"/>
      <c r="I95" s="275"/>
      <c r="J95" s="304"/>
      <c r="K95" s="309"/>
      <c r="L95" s="299"/>
      <c r="M95" s="309">
        <v>5</v>
      </c>
      <c r="N95" s="301">
        <v>12</v>
      </c>
      <c r="O95" s="51">
        <f>MAX(E95:N101)</f>
        <v>30</v>
      </c>
    </row>
    <row r="96" spans="2:15" x14ac:dyDescent="0.25">
      <c r="B96" s="235" t="s">
        <v>28</v>
      </c>
      <c r="C96" s="500"/>
      <c r="D96" s="506"/>
      <c r="E96" s="275">
        <v>13</v>
      </c>
      <c r="F96" s="275"/>
      <c r="G96" s="275"/>
      <c r="H96" s="275"/>
      <c r="I96" s="275"/>
      <c r="J96" s="304"/>
      <c r="K96" s="275"/>
      <c r="L96" s="299"/>
      <c r="M96" s="275">
        <v>8</v>
      </c>
      <c r="N96" s="301">
        <v>16</v>
      </c>
      <c r="O96" s="51">
        <f>MIN(E95:N101)</f>
        <v>5</v>
      </c>
    </row>
    <row r="97" spans="2:15" x14ac:dyDescent="0.25">
      <c r="B97" s="235" t="s">
        <v>29</v>
      </c>
      <c r="C97" s="500"/>
      <c r="D97" s="506"/>
      <c r="E97" s="275">
        <v>9</v>
      </c>
      <c r="F97" s="275"/>
      <c r="G97" s="275"/>
      <c r="H97" s="275"/>
      <c r="I97" s="275"/>
      <c r="J97" s="304"/>
      <c r="K97" s="275"/>
      <c r="L97" s="299"/>
      <c r="M97" s="275">
        <v>7</v>
      </c>
      <c r="N97" s="301">
        <v>18</v>
      </c>
    </row>
    <row r="98" spans="2:15" x14ac:dyDescent="0.25">
      <c r="B98" s="235" t="s">
        <v>30</v>
      </c>
      <c r="C98" s="500"/>
      <c r="D98" s="506"/>
      <c r="E98" s="275">
        <v>14</v>
      </c>
      <c r="F98" s="275"/>
      <c r="G98" s="275"/>
      <c r="H98" s="275"/>
      <c r="I98" s="275"/>
      <c r="J98" s="304"/>
      <c r="K98" s="275"/>
      <c r="L98" s="299"/>
      <c r="M98" s="275">
        <v>10</v>
      </c>
      <c r="N98" s="301">
        <v>10</v>
      </c>
    </row>
    <row r="99" spans="2:15" x14ac:dyDescent="0.25">
      <c r="B99" s="235" t="s">
        <v>31</v>
      </c>
      <c r="C99" s="500"/>
      <c r="D99" s="506"/>
      <c r="E99" s="275">
        <v>20</v>
      </c>
      <c r="F99" s="275"/>
      <c r="G99" s="275"/>
      <c r="H99" s="275"/>
      <c r="I99" s="275"/>
      <c r="J99" s="304"/>
      <c r="K99" s="275"/>
      <c r="L99" s="299"/>
      <c r="M99" s="292">
        <v>5</v>
      </c>
      <c r="N99" s="301">
        <v>12</v>
      </c>
    </row>
    <row r="100" spans="2:15" x14ac:dyDescent="0.25">
      <c r="B100" s="235" t="s">
        <v>25</v>
      </c>
      <c r="C100" s="500"/>
      <c r="D100" s="506"/>
      <c r="E100" s="275">
        <v>14</v>
      </c>
      <c r="F100" s="275"/>
      <c r="G100" s="275"/>
      <c r="H100" s="275"/>
      <c r="I100" s="275"/>
      <c r="J100" s="304"/>
      <c r="K100" s="275"/>
      <c r="L100" s="299"/>
      <c r="M100" s="275">
        <v>8</v>
      </c>
      <c r="N100" s="301">
        <v>17</v>
      </c>
    </row>
    <row r="101" spans="2:15" ht="15.75" thickBot="1" x14ac:dyDescent="0.3">
      <c r="B101" s="236" t="s">
        <v>32</v>
      </c>
      <c r="C101" s="501"/>
      <c r="D101" s="507"/>
      <c r="E101" s="302">
        <v>30</v>
      </c>
      <c r="F101" s="291"/>
      <c r="G101" s="291"/>
      <c r="H101" s="291"/>
      <c r="I101" s="291"/>
      <c r="J101" s="305"/>
      <c r="K101" s="291"/>
      <c r="L101" s="300"/>
      <c r="M101" s="291">
        <v>6</v>
      </c>
      <c r="N101" s="308">
        <v>9</v>
      </c>
    </row>
    <row r="102" spans="2:15" ht="15.75" thickBot="1" x14ac:dyDescent="0.3"/>
    <row r="103" spans="2:15" ht="15.75" thickBot="1" x14ac:dyDescent="0.3">
      <c r="B103" s="510" t="s">
        <v>362</v>
      </c>
      <c r="C103" s="511"/>
      <c r="D103" s="511"/>
      <c r="E103" s="511"/>
      <c r="F103" s="511"/>
      <c r="G103" s="511"/>
      <c r="H103" s="511"/>
      <c r="I103" s="511"/>
      <c r="J103" s="511"/>
      <c r="K103" s="511"/>
      <c r="L103" s="511"/>
      <c r="M103" s="511"/>
      <c r="N103" s="512"/>
    </row>
    <row r="104" spans="2:15" ht="15.75" thickBot="1" x14ac:dyDescent="0.3">
      <c r="B104" s="487" t="s">
        <v>346</v>
      </c>
      <c r="C104" s="497" t="s">
        <v>33</v>
      </c>
      <c r="D104" s="516"/>
      <c r="E104" s="310" t="s">
        <v>337</v>
      </c>
      <c r="F104" s="241" t="s">
        <v>84</v>
      </c>
      <c r="G104" s="241" t="s">
        <v>338</v>
      </c>
      <c r="H104" s="241" t="s">
        <v>339</v>
      </c>
      <c r="I104" s="241" t="s">
        <v>340</v>
      </c>
      <c r="J104" s="311" t="s">
        <v>341</v>
      </c>
      <c r="K104" s="240" t="s">
        <v>342</v>
      </c>
      <c r="L104" s="284" t="s">
        <v>343</v>
      </c>
      <c r="M104" s="240" t="s">
        <v>344</v>
      </c>
      <c r="N104" s="310" t="s">
        <v>355</v>
      </c>
    </row>
    <row r="105" spans="2:15" ht="15.75" thickBot="1" x14ac:dyDescent="0.3">
      <c r="B105" s="488"/>
      <c r="C105" s="260" t="s">
        <v>298</v>
      </c>
      <c r="D105" s="261" t="s">
        <v>297</v>
      </c>
      <c r="E105" s="289" t="s">
        <v>24</v>
      </c>
      <c r="F105" s="237" t="s">
        <v>24</v>
      </c>
      <c r="G105" s="237" t="s">
        <v>24</v>
      </c>
      <c r="H105" s="237" t="s">
        <v>24</v>
      </c>
      <c r="I105" s="237" t="s">
        <v>24</v>
      </c>
      <c r="J105" s="287" t="s">
        <v>24</v>
      </c>
      <c r="K105" s="237" t="s">
        <v>24</v>
      </c>
      <c r="L105" s="288" t="s">
        <v>24</v>
      </c>
      <c r="M105" s="237" t="s">
        <v>24</v>
      </c>
      <c r="N105" s="289" t="s">
        <v>24</v>
      </c>
    </row>
    <row r="106" spans="2:15" x14ac:dyDescent="0.25">
      <c r="B106" s="234" t="s">
        <v>27</v>
      </c>
      <c r="C106" s="500">
        <v>0.2</v>
      </c>
      <c r="D106" s="503">
        <v>0.5</v>
      </c>
      <c r="E106" s="271">
        <v>0.84</v>
      </c>
      <c r="F106" s="271">
        <v>1.53</v>
      </c>
      <c r="G106" s="271">
        <v>3.71</v>
      </c>
      <c r="H106" s="271">
        <v>2.9</v>
      </c>
      <c r="I106" s="271">
        <v>0.06</v>
      </c>
      <c r="J106" s="271">
        <v>0.39</v>
      </c>
      <c r="K106" s="271">
        <v>0.26300000000000001</v>
      </c>
      <c r="L106" s="271">
        <v>0.51</v>
      </c>
      <c r="M106" s="271">
        <v>1.38</v>
      </c>
      <c r="N106" s="271">
        <v>2.1800000000000002</v>
      </c>
      <c r="O106" s="51">
        <f>MAX(E106:N112)</f>
        <v>9.24</v>
      </c>
    </row>
    <row r="107" spans="2:15" x14ac:dyDescent="0.25">
      <c r="B107" s="235" t="s">
        <v>28</v>
      </c>
      <c r="C107" s="500"/>
      <c r="D107" s="503"/>
      <c r="E107" s="274">
        <v>1.58</v>
      </c>
      <c r="F107" s="274">
        <v>2.4700000000000002</v>
      </c>
      <c r="G107" s="274">
        <v>4.75</v>
      </c>
      <c r="H107" s="274">
        <v>3.16</v>
      </c>
      <c r="I107" s="274">
        <v>0.97</v>
      </c>
      <c r="J107" s="274">
        <v>0.56000000000000005</v>
      </c>
      <c r="K107" s="274">
        <v>0.36399999999999999</v>
      </c>
      <c r="L107" s="274">
        <v>0.62</v>
      </c>
      <c r="M107" s="274">
        <v>1.7</v>
      </c>
      <c r="N107" s="274">
        <v>2.17</v>
      </c>
      <c r="O107" s="51">
        <f>MIN(E106:N112)</f>
        <v>0.03</v>
      </c>
    </row>
    <row r="108" spans="2:15" x14ac:dyDescent="0.25">
      <c r="B108" s="235" t="s">
        <v>29</v>
      </c>
      <c r="C108" s="500"/>
      <c r="D108" s="503"/>
      <c r="E108" s="274">
        <v>1.08</v>
      </c>
      <c r="F108" s="274">
        <v>1.24</v>
      </c>
      <c r="G108" s="274">
        <v>4.07</v>
      </c>
      <c r="H108" s="274">
        <v>3.62</v>
      </c>
      <c r="I108" s="274">
        <v>0.16</v>
      </c>
      <c r="J108" s="274">
        <v>0.76</v>
      </c>
      <c r="K108" s="274">
        <v>0.33</v>
      </c>
      <c r="L108" s="274">
        <v>0.39300000000000002</v>
      </c>
      <c r="M108" s="274">
        <v>1.92</v>
      </c>
      <c r="N108" s="274">
        <v>2.4</v>
      </c>
    </row>
    <row r="109" spans="2:15" x14ac:dyDescent="0.25">
      <c r="B109" s="235" t="s">
        <v>30</v>
      </c>
      <c r="C109" s="500"/>
      <c r="D109" s="503"/>
      <c r="E109" s="274">
        <v>1.1100000000000001</v>
      </c>
      <c r="F109" s="274">
        <v>1.3</v>
      </c>
      <c r="G109" s="313">
        <v>9.24</v>
      </c>
      <c r="H109" s="274">
        <v>4.21</v>
      </c>
      <c r="I109" s="274">
        <v>0.28999999999999998</v>
      </c>
      <c r="J109" s="274">
        <v>0.28999999999999998</v>
      </c>
      <c r="K109" s="274">
        <v>0.28999999999999998</v>
      </c>
      <c r="L109" s="274">
        <v>0.6</v>
      </c>
      <c r="M109" s="274">
        <v>1.69</v>
      </c>
      <c r="N109" s="274">
        <v>2.35</v>
      </c>
    </row>
    <row r="110" spans="2:15" x14ac:dyDescent="0.25">
      <c r="B110" s="235" t="s">
        <v>31</v>
      </c>
      <c r="C110" s="500"/>
      <c r="D110" s="503"/>
      <c r="E110" s="274">
        <v>0.67</v>
      </c>
      <c r="F110" s="274">
        <v>1.1100000000000001</v>
      </c>
      <c r="G110" s="274">
        <v>3.01</v>
      </c>
      <c r="H110" s="274">
        <v>3.51</v>
      </c>
      <c r="I110" s="274">
        <v>0.31</v>
      </c>
      <c r="J110" s="274">
        <v>0.96</v>
      </c>
      <c r="K110" s="274">
        <v>0.29699999999999999</v>
      </c>
      <c r="L110" s="274">
        <v>0.21</v>
      </c>
      <c r="M110" s="274">
        <v>1.1100000000000001</v>
      </c>
      <c r="N110" s="274">
        <v>0.34</v>
      </c>
    </row>
    <row r="111" spans="2:15" x14ac:dyDescent="0.25">
      <c r="B111" s="235" t="s">
        <v>25</v>
      </c>
      <c r="C111" s="500"/>
      <c r="D111" s="503"/>
      <c r="E111" s="274">
        <v>0.33</v>
      </c>
      <c r="F111" s="274">
        <v>0.2</v>
      </c>
      <c r="G111" s="274">
        <v>0.41</v>
      </c>
      <c r="H111" s="274">
        <v>0.21</v>
      </c>
      <c r="I111" s="314">
        <v>0.03</v>
      </c>
      <c r="J111" s="274">
        <v>0.08</v>
      </c>
      <c r="K111" s="274">
        <v>0.21</v>
      </c>
      <c r="L111" s="274">
        <v>0.38100000000000001</v>
      </c>
      <c r="M111" s="274">
        <v>0.11</v>
      </c>
      <c r="N111" s="274">
        <v>0.2</v>
      </c>
    </row>
    <row r="112" spans="2:15" ht="15.75" thickBot="1" x14ac:dyDescent="0.3">
      <c r="B112" s="236" t="s">
        <v>32</v>
      </c>
      <c r="C112" s="501"/>
      <c r="D112" s="504"/>
      <c r="E112" s="312">
        <v>0.39</v>
      </c>
      <c r="F112" s="312">
        <v>0.47</v>
      </c>
      <c r="G112" s="312">
        <v>0.78</v>
      </c>
      <c r="H112" s="312">
        <v>0.39</v>
      </c>
      <c r="I112" s="312">
        <v>0.81</v>
      </c>
      <c r="J112" s="312">
        <v>0.04</v>
      </c>
      <c r="K112" s="312">
        <v>0.24</v>
      </c>
      <c r="L112" s="312">
        <v>0.44</v>
      </c>
      <c r="M112" s="312">
        <v>0.1</v>
      </c>
      <c r="N112" s="312">
        <v>0.12</v>
      </c>
    </row>
    <row r="113" spans="2:15" ht="15.75" thickBot="1" x14ac:dyDescent="0.3"/>
    <row r="114" spans="2:15" ht="15.75" thickBot="1" x14ac:dyDescent="0.3">
      <c r="B114" s="510" t="s">
        <v>363</v>
      </c>
      <c r="C114" s="511"/>
      <c r="D114" s="511"/>
      <c r="E114" s="511"/>
      <c r="F114" s="511"/>
      <c r="G114" s="511"/>
      <c r="H114" s="511"/>
      <c r="I114" s="511"/>
      <c r="J114" s="511"/>
      <c r="K114" s="511"/>
      <c r="L114" s="511"/>
      <c r="M114" s="511"/>
      <c r="N114" s="512"/>
    </row>
    <row r="115" spans="2:15" ht="15.75" thickBot="1" x14ac:dyDescent="0.3">
      <c r="B115" s="487" t="s">
        <v>346</v>
      </c>
      <c r="C115" s="497" t="s">
        <v>33</v>
      </c>
      <c r="D115" s="516"/>
      <c r="E115" s="310" t="s">
        <v>337</v>
      </c>
      <c r="F115" s="241" t="s">
        <v>84</v>
      </c>
      <c r="G115" s="241" t="s">
        <v>338</v>
      </c>
      <c r="H115" s="241" t="s">
        <v>339</v>
      </c>
      <c r="I115" s="241" t="s">
        <v>340</v>
      </c>
      <c r="J115" s="311" t="s">
        <v>341</v>
      </c>
      <c r="K115" s="240" t="s">
        <v>342</v>
      </c>
      <c r="L115" s="284" t="s">
        <v>343</v>
      </c>
      <c r="M115" s="240" t="s">
        <v>344</v>
      </c>
      <c r="N115" s="310" t="s">
        <v>355</v>
      </c>
    </row>
    <row r="116" spans="2:15" ht="15.75" thickBot="1" x14ac:dyDescent="0.3">
      <c r="B116" s="488"/>
      <c r="C116" s="260" t="s">
        <v>298</v>
      </c>
      <c r="D116" s="261" t="s">
        <v>297</v>
      </c>
      <c r="E116" s="289" t="s">
        <v>24</v>
      </c>
      <c r="F116" s="237" t="s">
        <v>24</v>
      </c>
      <c r="G116" s="237" t="s">
        <v>24</v>
      </c>
      <c r="H116" s="237" t="s">
        <v>24</v>
      </c>
      <c r="I116" s="237" t="s">
        <v>24</v>
      </c>
      <c r="J116" s="287" t="s">
        <v>24</v>
      </c>
      <c r="K116" s="237" t="s">
        <v>24</v>
      </c>
      <c r="L116" s="288" t="s">
        <v>24</v>
      </c>
      <c r="M116" s="237" t="s">
        <v>24</v>
      </c>
      <c r="N116" s="289" t="s">
        <v>24</v>
      </c>
    </row>
    <row r="117" spans="2:15" x14ac:dyDescent="0.25">
      <c r="B117" s="234" t="s">
        <v>27</v>
      </c>
      <c r="C117" s="500">
        <v>0.1</v>
      </c>
      <c r="D117" s="503">
        <v>1</v>
      </c>
      <c r="E117" s="271">
        <v>1.2999999999999999E-2</v>
      </c>
      <c r="F117" s="271">
        <v>1.2999999999999999E-2</v>
      </c>
      <c r="G117" s="337">
        <v>0.38</v>
      </c>
      <c r="H117" s="271">
        <v>2.4E-2</v>
      </c>
      <c r="I117" s="316"/>
      <c r="J117" s="316"/>
      <c r="K117" s="316"/>
      <c r="L117" s="316"/>
      <c r="M117" s="271">
        <v>2.3E-2</v>
      </c>
      <c r="N117" s="271">
        <v>2.4E-2</v>
      </c>
      <c r="O117" s="51">
        <f>MAX(E117:N123)</f>
        <v>0.38</v>
      </c>
    </row>
    <row r="118" spans="2:15" x14ac:dyDescent="0.25">
      <c r="B118" s="235" t="s">
        <v>28</v>
      </c>
      <c r="C118" s="500"/>
      <c r="D118" s="503"/>
      <c r="E118" s="274">
        <v>3.7999999999999999E-2</v>
      </c>
      <c r="F118" s="274">
        <v>1.2E-2</v>
      </c>
      <c r="G118" s="274">
        <v>0.155</v>
      </c>
      <c r="H118" s="274">
        <v>2E-3</v>
      </c>
      <c r="I118" s="317"/>
      <c r="J118" s="317"/>
      <c r="K118" s="317"/>
      <c r="L118" s="317"/>
      <c r="M118" s="274">
        <v>2.5000000000000001E-2</v>
      </c>
      <c r="N118" s="274">
        <v>6.5000000000000002E-2</v>
      </c>
      <c r="O118" s="51">
        <f>MIN(E117:N123)</f>
        <v>1E-3</v>
      </c>
    </row>
    <row r="119" spans="2:15" x14ac:dyDescent="0.25">
      <c r="B119" s="235" t="s">
        <v>29</v>
      </c>
      <c r="C119" s="500"/>
      <c r="D119" s="503"/>
      <c r="E119" s="274">
        <v>2.9000000000000001E-2</v>
      </c>
      <c r="F119" s="274">
        <v>1.7999999999999999E-2</v>
      </c>
      <c r="G119" s="274">
        <v>0.29599999999999999</v>
      </c>
      <c r="H119" s="274">
        <v>8.0000000000000002E-3</v>
      </c>
      <c r="I119" s="317"/>
      <c r="J119" s="317"/>
      <c r="K119" s="317"/>
      <c r="L119" s="317"/>
      <c r="M119" s="274">
        <v>2.5999999999999999E-2</v>
      </c>
      <c r="N119" s="274">
        <v>7.1999999999999995E-2</v>
      </c>
    </row>
    <row r="120" spans="2:15" x14ac:dyDescent="0.25">
      <c r="B120" s="235" t="s">
        <v>30</v>
      </c>
      <c r="C120" s="500"/>
      <c r="D120" s="503"/>
      <c r="E120" s="274">
        <v>0.03</v>
      </c>
      <c r="F120" s="274">
        <v>1.4E-2</v>
      </c>
      <c r="G120" s="274">
        <v>0.111</v>
      </c>
      <c r="H120" s="315">
        <v>1E-3</v>
      </c>
      <c r="I120" s="317"/>
      <c r="J120" s="317"/>
      <c r="K120" s="317"/>
      <c r="L120" s="317"/>
      <c r="M120" s="274">
        <v>2.1000000000000001E-2</v>
      </c>
      <c r="N120" s="274">
        <v>3.5000000000000003E-2</v>
      </c>
    </row>
    <row r="121" spans="2:15" x14ac:dyDescent="0.25">
      <c r="B121" s="235" t="s">
        <v>31</v>
      </c>
      <c r="C121" s="500"/>
      <c r="D121" s="503"/>
      <c r="E121" s="274">
        <v>4.2000000000000003E-2</v>
      </c>
      <c r="F121" s="274">
        <v>5.0999999999999997E-2</v>
      </c>
      <c r="G121" s="274">
        <v>7.8E-2</v>
      </c>
      <c r="H121" s="274">
        <v>1.7000000000000001E-2</v>
      </c>
      <c r="I121" s="317"/>
      <c r="J121" s="317"/>
      <c r="K121" s="317"/>
      <c r="L121" s="317"/>
      <c r="M121" s="274">
        <v>3.9E-2</v>
      </c>
      <c r="N121" s="274">
        <v>6.5000000000000002E-2</v>
      </c>
    </row>
    <row r="122" spans="2:15" x14ac:dyDescent="0.25">
      <c r="B122" s="235" t="s">
        <v>25</v>
      </c>
      <c r="C122" s="500"/>
      <c r="D122" s="503"/>
      <c r="E122" s="274">
        <v>1.4999999999999999E-2</v>
      </c>
      <c r="F122" s="274">
        <v>0.153</v>
      </c>
      <c r="G122" s="274">
        <v>0.14599999999999999</v>
      </c>
      <c r="H122" s="274">
        <v>8.9999999999999993E-3</v>
      </c>
      <c r="I122" s="317"/>
      <c r="J122" s="317"/>
      <c r="K122" s="317"/>
      <c r="L122" s="317"/>
      <c r="M122" s="274">
        <v>2.5999999999999999E-2</v>
      </c>
      <c r="N122" s="274">
        <v>7.9000000000000001E-2</v>
      </c>
    </row>
    <row r="123" spans="2:15" ht="15.75" thickBot="1" x14ac:dyDescent="0.3">
      <c r="B123" s="236" t="s">
        <v>32</v>
      </c>
      <c r="C123" s="501"/>
      <c r="D123" s="504"/>
      <c r="E123" s="312">
        <v>2.3E-2</v>
      </c>
      <c r="F123" s="312">
        <v>1.6E-2</v>
      </c>
      <c r="G123" s="312">
        <v>0.11</v>
      </c>
      <c r="H123" s="312">
        <v>6.6000000000000003E-2</v>
      </c>
      <c r="I123" s="318"/>
      <c r="J123" s="318"/>
      <c r="K123" s="318"/>
      <c r="L123" s="318"/>
      <c r="M123" s="312">
        <v>2.1000000000000001E-2</v>
      </c>
      <c r="N123" s="312">
        <v>0.01</v>
      </c>
    </row>
    <row r="124" spans="2:15" ht="15.75" thickBot="1" x14ac:dyDescent="0.3"/>
    <row r="125" spans="2:15" ht="15.75" thickBot="1" x14ac:dyDescent="0.3">
      <c r="B125" s="510" t="s">
        <v>364</v>
      </c>
      <c r="C125" s="511"/>
      <c r="D125" s="511"/>
      <c r="E125" s="511"/>
      <c r="F125" s="511"/>
      <c r="G125" s="511"/>
      <c r="H125" s="511"/>
      <c r="I125" s="511"/>
      <c r="J125" s="511"/>
      <c r="K125" s="511"/>
      <c r="L125" s="511"/>
      <c r="M125" s="511"/>
      <c r="N125" s="512"/>
    </row>
    <row r="126" spans="2:15" ht="15.75" thickBot="1" x14ac:dyDescent="0.3">
      <c r="B126" s="487" t="s">
        <v>346</v>
      </c>
      <c r="C126" s="497" t="s">
        <v>33</v>
      </c>
      <c r="D126" s="516"/>
      <c r="E126" s="310" t="s">
        <v>337</v>
      </c>
      <c r="F126" s="241" t="s">
        <v>84</v>
      </c>
      <c r="G126" s="241" t="s">
        <v>338</v>
      </c>
      <c r="H126" s="241" t="s">
        <v>339</v>
      </c>
      <c r="I126" s="241" t="s">
        <v>340</v>
      </c>
      <c r="J126" s="311" t="s">
        <v>341</v>
      </c>
      <c r="K126" s="240" t="s">
        <v>342</v>
      </c>
      <c r="L126" s="284" t="s">
        <v>343</v>
      </c>
      <c r="M126" s="240" t="s">
        <v>344</v>
      </c>
      <c r="N126" s="310" t="s">
        <v>355</v>
      </c>
    </row>
    <row r="127" spans="2:15" ht="15.75" thickBot="1" x14ac:dyDescent="0.3">
      <c r="B127" s="488"/>
      <c r="C127" s="260" t="s">
        <v>298</v>
      </c>
      <c r="D127" s="261" t="s">
        <v>297</v>
      </c>
      <c r="E127" s="289" t="s">
        <v>24</v>
      </c>
      <c r="F127" s="237" t="s">
        <v>24</v>
      </c>
      <c r="G127" s="237" t="s">
        <v>24</v>
      </c>
      <c r="H127" s="237" t="s">
        <v>24</v>
      </c>
      <c r="I127" s="237" t="s">
        <v>24</v>
      </c>
      <c r="J127" s="287" t="s">
        <v>24</v>
      </c>
      <c r="K127" s="237" t="s">
        <v>24</v>
      </c>
      <c r="L127" s="288" t="s">
        <v>24</v>
      </c>
      <c r="M127" s="237" t="s">
        <v>24</v>
      </c>
      <c r="N127" s="289" t="s">
        <v>24</v>
      </c>
    </row>
    <row r="128" spans="2:15" x14ac:dyDescent="0.25">
      <c r="B128" s="241" t="s">
        <v>27</v>
      </c>
      <c r="C128" s="518">
        <v>0.2</v>
      </c>
      <c r="D128" s="508">
        <v>0.2</v>
      </c>
      <c r="E128" s="272">
        <v>3.2</v>
      </c>
      <c r="F128" s="319">
        <v>0.1</v>
      </c>
      <c r="G128" s="272">
        <v>2.9</v>
      </c>
      <c r="H128" s="272">
        <v>0.6</v>
      </c>
      <c r="I128" s="320"/>
      <c r="J128" s="320"/>
      <c r="K128" s="320"/>
      <c r="L128" s="320"/>
      <c r="M128" s="272">
        <v>2.9</v>
      </c>
      <c r="N128" s="323">
        <v>3.7</v>
      </c>
      <c r="O128" s="51">
        <f>MAX(E128:N134)</f>
        <v>3.7</v>
      </c>
    </row>
    <row r="129" spans="2:15" x14ac:dyDescent="0.25">
      <c r="B129" s="235" t="s">
        <v>28</v>
      </c>
      <c r="C129" s="518"/>
      <c r="D129" s="508"/>
      <c r="E129" s="275">
        <v>3.3</v>
      </c>
      <c r="F129" s="275">
        <v>0.2</v>
      </c>
      <c r="G129" s="275">
        <v>2</v>
      </c>
      <c r="H129" s="275">
        <v>0.5</v>
      </c>
      <c r="I129" s="321"/>
      <c r="J129" s="321"/>
      <c r="K129" s="321"/>
      <c r="L129" s="321"/>
      <c r="M129" s="275">
        <v>1.1000000000000001</v>
      </c>
      <c r="N129" s="275">
        <v>1.8</v>
      </c>
      <c r="O129" s="51">
        <f>MIN(E128:N134)</f>
        <v>0.1</v>
      </c>
    </row>
    <row r="130" spans="2:15" x14ac:dyDescent="0.25">
      <c r="B130" s="235" t="s">
        <v>29</v>
      </c>
      <c r="C130" s="518"/>
      <c r="D130" s="508"/>
      <c r="E130" s="275">
        <v>2.5</v>
      </c>
      <c r="F130" s="275">
        <v>0.3</v>
      </c>
      <c r="G130" s="275">
        <v>2.2999999999999998</v>
      </c>
      <c r="H130" s="275">
        <v>0.5</v>
      </c>
      <c r="I130" s="321"/>
      <c r="J130" s="321"/>
      <c r="K130" s="321"/>
      <c r="L130" s="321"/>
      <c r="M130" s="275">
        <v>0.2</v>
      </c>
      <c r="N130" s="275">
        <v>1.2</v>
      </c>
    </row>
    <row r="131" spans="2:15" x14ac:dyDescent="0.25">
      <c r="B131" s="235" t="s">
        <v>30</v>
      </c>
      <c r="C131" s="518"/>
      <c r="D131" s="508"/>
      <c r="E131" s="275">
        <v>1.5</v>
      </c>
      <c r="F131" s="275">
        <v>0.4</v>
      </c>
      <c r="G131" s="275">
        <v>2.5</v>
      </c>
      <c r="H131" s="292">
        <v>0.1</v>
      </c>
      <c r="I131" s="321"/>
      <c r="J131" s="321"/>
      <c r="K131" s="321"/>
      <c r="L131" s="321"/>
      <c r="M131" s="275">
        <v>0.4</v>
      </c>
      <c r="N131" s="275">
        <v>1</v>
      </c>
    </row>
    <row r="132" spans="2:15" x14ac:dyDescent="0.25">
      <c r="B132" s="235" t="s">
        <v>31</v>
      </c>
      <c r="C132" s="518"/>
      <c r="D132" s="508"/>
      <c r="E132" s="275">
        <v>2</v>
      </c>
      <c r="F132" s="275">
        <v>0.2</v>
      </c>
      <c r="G132" s="275">
        <v>2.8</v>
      </c>
      <c r="H132" s="292">
        <v>0.1</v>
      </c>
      <c r="I132" s="321"/>
      <c r="J132" s="321"/>
      <c r="K132" s="321"/>
      <c r="L132" s="321"/>
      <c r="M132" s="275">
        <v>1.2</v>
      </c>
      <c r="N132" s="275">
        <v>0.7</v>
      </c>
    </row>
    <row r="133" spans="2:15" x14ac:dyDescent="0.25">
      <c r="B133" s="235" t="s">
        <v>25</v>
      </c>
      <c r="C133" s="518"/>
      <c r="D133" s="508"/>
      <c r="E133" s="275">
        <v>2.2000000000000002</v>
      </c>
      <c r="F133" s="275">
        <v>0.8</v>
      </c>
      <c r="G133" s="275">
        <v>2.2000000000000002</v>
      </c>
      <c r="H133" s="275">
        <v>0.3</v>
      </c>
      <c r="I133" s="321"/>
      <c r="J133" s="321"/>
      <c r="K133" s="321"/>
      <c r="L133" s="321"/>
      <c r="M133" s="275">
        <v>0.4</v>
      </c>
      <c r="N133" s="275">
        <v>0.4</v>
      </c>
    </row>
    <row r="134" spans="2:15" ht="15.75" thickBot="1" x14ac:dyDescent="0.3">
      <c r="B134" s="236" t="s">
        <v>32</v>
      </c>
      <c r="C134" s="519"/>
      <c r="D134" s="509"/>
      <c r="E134" s="291">
        <v>2</v>
      </c>
      <c r="F134" s="291">
        <v>0.8</v>
      </c>
      <c r="G134" s="291">
        <v>2.7</v>
      </c>
      <c r="H134" s="291">
        <v>1.2</v>
      </c>
      <c r="I134" s="322"/>
      <c r="J134" s="322"/>
      <c r="K134" s="322"/>
      <c r="L134" s="322"/>
      <c r="M134" s="291">
        <v>0.8</v>
      </c>
      <c r="N134" s="291">
        <v>0.5</v>
      </c>
    </row>
    <row r="135" spans="2:15" ht="15.75" thickBot="1" x14ac:dyDescent="0.3"/>
    <row r="136" spans="2:15" ht="15.75" thickBot="1" x14ac:dyDescent="0.3">
      <c r="B136" s="510" t="s">
        <v>365</v>
      </c>
      <c r="C136" s="511"/>
      <c r="D136" s="511"/>
      <c r="E136" s="511"/>
      <c r="F136" s="511"/>
      <c r="G136" s="511"/>
      <c r="H136" s="511"/>
      <c r="I136" s="511"/>
      <c r="J136" s="511"/>
      <c r="K136" s="511"/>
      <c r="L136" s="511"/>
      <c r="M136" s="511"/>
      <c r="N136" s="512"/>
    </row>
    <row r="137" spans="2:15" ht="15.75" thickBot="1" x14ac:dyDescent="0.3">
      <c r="B137" s="487" t="s">
        <v>346</v>
      </c>
      <c r="C137" s="497" t="s">
        <v>33</v>
      </c>
      <c r="D137" s="516"/>
      <c r="E137" s="310" t="s">
        <v>337</v>
      </c>
      <c r="F137" s="241" t="s">
        <v>84</v>
      </c>
      <c r="G137" s="241" t="s">
        <v>338</v>
      </c>
      <c r="H137" s="241" t="s">
        <v>339</v>
      </c>
      <c r="I137" s="241" t="s">
        <v>340</v>
      </c>
      <c r="J137" s="311" t="s">
        <v>341</v>
      </c>
      <c r="K137" s="240" t="s">
        <v>342</v>
      </c>
      <c r="L137" s="284" t="s">
        <v>343</v>
      </c>
      <c r="M137" s="240" t="s">
        <v>344</v>
      </c>
      <c r="N137" s="310" t="s">
        <v>355</v>
      </c>
    </row>
    <row r="138" spans="2:15" ht="15.75" thickBot="1" x14ac:dyDescent="0.3">
      <c r="B138" s="488"/>
      <c r="C138" s="260" t="s">
        <v>298</v>
      </c>
      <c r="D138" s="261" t="s">
        <v>297</v>
      </c>
      <c r="E138" s="289" t="s">
        <v>24</v>
      </c>
      <c r="F138" s="237" t="s">
        <v>24</v>
      </c>
      <c r="G138" s="237" t="s">
        <v>24</v>
      </c>
      <c r="H138" s="237" t="s">
        <v>24</v>
      </c>
      <c r="I138" s="237" t="s">
        <v>24</v>
      </c>
      <c r="J138" s="287" t="s">
        <v>24</v>
      </c>
      <c r="K138" s="237" t="s">
        <v>24</v>
      </c>
      <c r="L138" s="288" t="s">
        <v>24</v>
      </c>
      <c r="M138" s="237" t="s">
        <v>24</v>
      </c>
      <c r="N138" s="289" t="s">
        <v>24</v>
      </c>
    </row>
    <row r="139" spans="2:15" x14ac:dyDescent="0.25">
      <c r="B139" s="234" t="s">
        <v>27</v>
      </c>
      <c r="C139" s="500">
        <v>0.5</v>
      </c>
      <c r="D139" s="503" t="s">
        <v>350</v>
      </c>
      <c r="E139" s="270">
        <v>0.52200000000000002</v>
      </c>
      <c r="F139" s="270">
        <v>0.10199999999999999</v>
      </c>
      <c r="G139" s="270">
        <v>3.7999999999999999E-2</v>
      </c>
      <c r="H139" s="270">
        <v>9.5000000000000001E-2</v>
      </c>
      <c r="I139" s="320"/>
      <c r="J139" s="320"/>
      <c r="K139" s="320"/>
      <c r="L139" s="320"/>
      <c r="M139" s="270">
        <v>0.161</v>
      </c>
      <c r="N139" s="270">
        <v>7.9000000000000001E-2</v>
      </c>
      <c r="O139" s="51">
        <f>MAX(E139:N145)</f>
        <v>1.857</v>
      </c>
    </row>
    <row r="140" spans="2:15" x14ac:dyDescent="0.25">
      <c r="B140" s="235" t="s">
        <v>28</v>
      </c>
      <c r="C140" s="500"/>
      <c r="D140" s="503"/>
      <c r="E140" s="273">
        <v>0.72799999999999998</v>
      </c>
      <c r="F140" s="273">
        <v>0.09</v>
      </c>
      <c r="G140" s="273">
        <v>4.5999999999999999E-2</v>
      </c>
      <c r="H140" s="273">
        <v>0.06</v>
      </c>
      <c r="I140" s="321"/>
      <c r="J140" s="321"/>
      <c r="K140" s="321"/>
      <c r="L140" s="321"/>
      <c r="M140" s="273">
        <v>0.23699999999999999</v>
      </c>
      <c r="N140" s="273">
        <v>7.1999999999999995E-2</v>
      </c>
      <c r="O140" s="51">
        <f>MIN(E139:N145)</f>
        <v>2.5999999999999999E-2</v>
      </c>
    </row>
    <row r="141" spans="2:15" x14ac:dyDescent="0.25">
      <c r="B141" s="235" t="s">
        <v>29</v>
      </c>
      <c r="C141" s="500"/>
      <c r="D141" s="503"/>
      <c r="E141" s="273">
        <v>0.44900000000000001</v>
      </c>
      <c r="F141" s="273">
        <v>0.11</v>
      </c>
      <c r="G141" s="273">
        <v>4.3999999999999997E-2</v>
      </c>
      <c r="H141" s="273">
        <v>0.251</v>
      </c>
      <c r="I141" s="321"/>
      <c r="J141" s="321"/>
      <c r="K141" s="321"/>
      <c r="L141" s="321"/>
      <c r="M141" s="273">
        <v>0.628</v>
      </c>
      <c r="N141" s="273">
        <v>6.8000000000000005E-2</v>
      </c>
    </row>
    <row r="142" spans="2:15" x14ac:dyDescent="0.25">
      <c r="B142" s="235" t="s">
        <v>30</v>
      </c>
      <c r="C142" s="500"/>
      <c r="D142" s="503"/>
      <c r="E142" s="273">
        <v>0.45300000000000001</v>
      </c>
      <c r="F142" s="273">
        <v>0.108</v>
      </c>
      <c r="G142" s="273">
        <v>4.2999999999999997E-2</v>
      </c>
      <c r="H142" s="273">
        <v>0.04</v>
      </c>
      <c r="I142" s="321"/>
      <c r="J142" s="321"/>
      <c r="K142" s="321"/>
      <c r="L142" s="321"/>
      <c r="M142" s="273">
        <v>0.13800000000000001</v>
      </c>
      <c r="N142" s="273">
        <v>9.4E-2</v>
      </c>
    </row>
    <row r="143" spans="2:15" x14ac:dyDescent="0.25">
      <c r="B143" s="235" t="s">
        <v>31</v>
      </c>
      <c r="C143" s="500"/>
      <c r="D143" s="503"/>
      <c r="E143" s="273">
        <v>1.0189999999999999</v>
      </c>
      <c r="F143" s="273">
        <v>0.17399999999999999</v>
      </c>
      <c r="G143" s="273">
        <v>5.0999999999999997E-2</v>
      </c>
      <c r="H143" s="273">
        <v>3.6999999999999998E-2</v>
      </c>
      <c r="I143" s="321"/>
      <c r="J143" s="321"/>
      <c r="K143" s="321"/>
      <c r="L143" s="321"/>
      <c r="M143" s="273">
        <v>0.10100000000000001</v>
      </c>
      <c r="N143" s="315">
        <v>2.5999999999999999E-2</v>
      </c>
    </row>
    <row r="144" spans="2:15" x14ac:dyDescent="0.25">
      <c r="B144" s="235" t="s">
        <v>25</v>
      </c>
      <c r="C144" s="500"/>
      <c r="D144" s="503"/>
      <c r="E144" s="273">
        <v>1.4</v>
      </c>
      <c r="F144" s="273">
        <v>1.5760000000000001</v>
      </c>
      <c r="G144" s="273">
        <v>0.40600000000000003</v>
      </c>
      <c r="H144" s="273">
        <v>0.38700000000000001</v>
      </c>
      <c r="I144" s="321"/>
      <c r="J144" s="321"/>
      <c r="K144" s="321"/>
      <c r="L144" s="321"/>
      <c r="M144" s="273">
        <v>0.26</v>
      </c>
      <c r="N144" s="273">
        <v>5.8000000000000003E-2</v>
      </c>
    </row>
    <row r="145" spans="2:15" ht="15.75" thickBot="1" x14ac:dyDescent="0.3">
      <c r="B145" s="236" t="s">
        <v>32</v>
      </c>
      <c r="C145" s="501"/>
      <c r="D145" s="504"/>
      <c r="E145" s="324">
        <v>1.4</v>
      </c>
      <c r="F145" s="325">
        <v>1.857</v>
      </c>
      <c r="G145" s="324">
        <v>0.59</v>
      </c>
      <c r="H145" s="324">
        <v>0.34300000000000003</v>
      </c>
      <c r="I145" s="322"/>
      <c r="J145" s="322"/>
      <c r="K145" s="322"/>
      <c r="L145" s="322"/>
      <c r="M145" s="324">
        <v>0.48</v>
      </c>
      <c r="N145" s="324">
        <v>0.48</v>
      </c>
    </row>
    <row r="146" spans="2:15" ht="15.75" thickBot="1" x14ac:dyDescent="0.3"/>
    <row r="147" spans="2:15" ht="15.75" thickBot="1" x14ac:dyDescent="0.3">
      <c r="B147" s="510" t="s">
        <v>366</v>
      </c>
      <c r="C147" s="511"/>
      <c r="D147" s="511"/>
      <c r="E147" s="511"/>
      <c r="F147" s="511"/>
      <c r="G147" s="511"/>
      <c r="H147" s="511"/>
      <c r="I147" s="511"/>
      <c r="J147" s="511"/>
      <c r="K147" s="511"/>
      <c r="L147" s="511"/>
      <c r="M147" s="511"/>
      <c r="N147" s="512"/>
    </row>
    <row r="148" spans="2:15" ht="15.75" thickBot="1" x14ac:dyDescent="0.3">
      <c r="B148" s="487" t="s">
        <v>346</v>
      </c>
      <c r="C148" s="497" t="s">
        <v>33</v>
      </c>
      <c r="D148" s="516"/>
      <c r="E148" s="310" t="s">
        <v>337</v>
      </c>
      <c r="F148" s="241" t="s">
        <v>84</v>
      </c>
      <c r="G148" s="241" t="s">
        <v>338</v>
      </c>
      <c r="H148" s="241" t="s">
        <v>339</v>
      </c>
      <c r="I148" s="241" t="s">
        <v>340</v>
      </c>
      <c r="J148" s="311" t="s">
        <v>341</v>
      </c>
      <c r="K148" s="240" t="s">
        <v>342</v>
      </c>
      <c r="L148" s="284" t="s">
        <v>343</v>
      </c>
      <c r="M148" s="240" t="s">
        <v>344</v>
      </c>
      <c r="N148" s="310" t="s">
        <v>355</v>
      </c>
    </row>
    <row r="149" spans="2:15" ht="15.75" thickBot="1" x14ac:dyDescent="0.3">
      <c r="B149" s="488"/>
      <c r="C149" s="260" t="s">
        <v>298</v>
      </c>
      <c r="D149" s="261" t="s">
        <v>297</v>
      </c>
      <c r="E149" s="289" t="s">
        <v>24</v>
      </c>
      <c r="F149" s="237" t="s">
        <v>24</v>
      </c>
      <c r="G149" s="237" t="s">
        <v>24</v>
      </c>
      <c r="H149" s="237" t="s">
        <v>24</v>
      </c>
      <c r="I149" s="237" t="s">
        <v>24</v>
      </c>
      <c r="J149" s="287" t="s">
        <v>24</v>
      </c>
      <c r="K149" s="237" t="s">
        <v>24</v>
      </c>
      <c r="L149" s="288" t="s">
        <v>24</v>
      </c>
      <c r="M149" s="237" t="s">
        <v>24</v>
      </c>
      <c r="N149" s="289" t="s">
        <v>24</v>
      </c>
    </row>
    <row r="150" spans="2:15" x14ac:dyDescent="0.25">
      <c r="B150" s="311" t="s">
        <v>27</v>
      </c>
      <c r="C150" s="500">
        <v>2</v>
      </c>
      <c r="D150" s="503">
        <v>24</v>
      </c>
      <c r="E150" s="270">
        <v>0.13</v>
      </c>
      <c r="F150" s="320"/>
      <c r="G150" s="320"/>
      <c r="H150" s="320"/>
      <c r="I150" s="320"/>
      <c r="J150" s="320"/>
      <c r="K150" s="320"/>
      <c r="L150" s="320"/>
      <c r="M150" s="270">
        <v>0.12</v>
      </c>
      <c r="N150" s="270">
        <v>0.26</v>
      </c>
      <c r="O150" s="51">
        <f>MAX(E150:N156)</f>
        <v>0.37</v>
      </c>
    </row>
    <row r="151" spans="2:15" x14ac:dyDescent="0.25">
      <c r="B151" s="297" t="s">
        <v>28</v>
      </c>
      <c r="C151" s="500"/>
      <c r="D151" s="503"/>
      <c r="E151" s="326">
        <v>0.37</v>
      </c>
      <c r="F151" s="321"/>
      <c r="G151" s="321"/>
      <c r="H151" s="321"/>
      <c r="I151" s="321"/>
      <c r="J151" s="321"/>
      <c r="K151" s="321"/>
      <c r="L151" s="321"/>
      <c r="M151" s="273">
        <v>0.11</v>
      </c>
      <c r="N151" s="273">
        <v>0.13</v>
      </c>
      <c r="O151" s="51">
        <f>MIN(E150:N156)</f>
        <v>0.09</v>
      </c>
    </row>
    <row r="152" spans="2:15" x14ac:dyDescent="0.25">
      <c r="B152" s="297" t="s">
        <v>29</v>
      </c>
      <c r="C152" s="500"/>
      <c r="D152" s="503"/>
      <c r="E152" s="273">
        <v>0.12</v>
      </c>
      <c r="F152" s="321"/>
      <c r="G152" s="321"/>
      <c r="H152" s="321"/>
      <c r="I152" s="321"/>
      <c r="J152" s="321"/>
      <c r="K152" s="321"/>
      <c r="L152" s="321"/>
      <c r="M152" s="315">
        <v>0.09</v>
      </c>
      <c r="N152" s="315">
        <v>0.09</v>
      </c>
    </row>
    <row r="153" spans="2:15" x14ac:dyDescent="0.25">
      <c r="B153" s="297" t="s">
        <v>30</v>
      </c>
      <c r="C153" s="500"/>
      <c r="D153" s="503"/>
      <c r="E153" s="273">
        <v>0.1</v>
      </c>
      <c r="F153" s="321"/>
      <c r="G153" s="321"/>
      <c r="H153" s="321"/>
      <c r="I153" s="321"/>
      <c r="J153" s="321"/>
      <c r="K153" s="321"/>
      <c r="L153" s="321"/>
      <c r="M153" s="273">
        <v>0.1</v>
      </c>
      <c r="N153" s="273">
        <v>0.1</v>
      </c>
    </row>
    <row r="154" spans="2:15" x14ac:dyDescent="0.25">
      <c r="B154" s="297" t="s">
        <v>31</v>
      </c>
      <c r="C154" s="500"/>
      <c r="D154" s="503"/>
      <c r="E154" s="273">
        <v>0.13</v>
      </c>
      <c r="F154" s="321"/>
      <c r="G154" s="321"/>
      <c r="H154" s="321"/>
      <c r="I154" s="321"/>
      <c r="J154" s="321"/>
      <c r="K154" s="321"/>
      <c r="L154" s="321"/>
      <c r="M154" s="273">
        <v>0.16</v>
      </c>
      <c r="N154" s="273">
        <v>0.23</v>
      </c>
    </row>
    <row r="155" spans="2:15" x14ac:dyDescent="0.25">
      <c r="B155" s="297" t="s">
        <v>25</v>
      </c>
      <c r="C155" s="500"/>
      <c r="D155" s="503"/>
      <c r="E155" s="273">
        <v>0.26</v>
      </c>
      <c r="F155" s="321"/>
      <c r="G155" s="321"/>
      <c r="H155" s="321"/>
      <c r="I155" s="321"/>
      <c r="J155" s="321"/>
      <c r="K155" s="321"/>
      <c r="L155" s="321"/>
      <c r="M155" s="273">
        <v>0.12</v>
      </c>
      <c r="N155" s="273">
        <v>0.19</v>
      </c>
    </row>
    <row r="156" spans="2:15" ht="15.75" thickBot="1" x14ac:dyDescent="0.3">
      <c r="B156" s="298" t="s">
        <v>32</v>
      </c>
      <c r="C156" s="501"/>
      <c r="D156" s="504"/>
      <c r="E156" s="324">
        <v>0.27</v>
      </c>
      <c r="F156" s="322"/>
      <c r="G156" s="322"/>
      <c r="H156" s="322"/>
      <c r="I156" s="322"/>
      <c r="J156" s="322"/>
      <c r="K156" s="322"/>
      <c r="L156" s="322"/>
      <c r="M156" s="324">
        <v>0.13</v>
      </c>
      <c r="N156" s="324">
        <v>0.13</v>
      </c>
    </row>
    <row r="157" spans="2:15" ht="15.75" thickBot="1" x14ac:dyDescent="0.3"/>
    <row r="158" spans="2:15" ht="15.75" thickBot="1" x14ac:dyDescent="0.3">
      <c r="B158" s="510" t="s">
        <v>92</v>
      </c>
      <c r="C158" s="511"/>
      <c r="D158" s="511"/>
      <c r="E158" s="511"/>
      <c r="F158" s="511"/>
      <c r="G158" s="511"/>
      <c r="H158" s="511"/>
      <c r="I158" s="511"/>
      <c r="J158" s="511"/>
      <c r="K158" s="511"/>
      <c r="L158" s="511"/>
      <c r="M158" s="511"/>
      <c r="N158" s="512"/>
    </row>
    <row r="159" spans="2:15" ht="15.75" thickBot="1" x14ac:dyDescent="0.3">
      <c r="B159" s="517" t="s">
        <v>346</v>
      </c>
      <c r="C159" s="525" t="s">
        <v>33</v>
      </c>
      <c r="D159" s="526"/>
      <c r="E159" s="290" t="s">
        <v>337</v>
      </c>
      <c r="F159" s="290" t="s">
        <v>84</v>
      </c>
      <c r="G159" s="290" t="s">
        <v>338</v>
      </c>
      <c r="H159" s="237" t="s">
        <v>339</v>
      </c>
      <c r="I159" s="290" t="s">
        <v>340</v>
      </c>
      <c r="J159" s="290" t="s">
        <v>341</v>
      </c>
      <c r="K159" s="290" t="s">
        <v>342</v>
      </c>
      <c r="L159" s="290" t="s">
        <v>343</v>
      </c>
      <c r="M159" s="290" t="s">
        <v>344</v>
      </c>
      <c r="N159" s="290" t="s">
        <v>355</v>
      </c>
    </row>
    <row r="160" spans="2:15" ht="15.75" thickBot="1" x14ac:dyDescent="0.3">
      <c r="B160" s="488"/>
      <c r="C160" s="260" t="s">
        <v>298</v>
      </c>
      <c r="D160" s="257" t="s">
        <v>297</v>
      </c>
      <c r="E160" s="328" t="s">
        <v>367</v>
      </c>
      <c r="F160" s="328" t="s">
        <v>367</v>
      </c>
      <c r="G160" s="328" t="s">
        <v>367</v>
      </c>
      <c r="H160" s="328" t="s">
        <v>367</v>
      </c>
      <c r="I160" s="328" t="s">
        <v>367</v>
      </c>
      <c r="J160" s="328" t="s">
        <v>367</v>
      </c>
      <c r="K160" s="328" t="s">
        <v>367</v>
      </c>
      <c r="L160" s="328" t="s">
        <v>367</v>
      </c>
      <c r="M160" s="328" t="s">
        <v>367</v>
      </c>
      <c r="N160" s="328" t="s">
        <v>367</v>
      </c>
    </row>
    <row r="161" spans="2:15" x14ac:dyDescent="0.25">
      <c r="B161" s="311" t="s">
        <v>27</v>
      </c>
      <c r="C161" s="500" t="s">
        <v>350</v>
      </c>
      <c r="D161" s="503" t="s">
        <v>350</v>
      </c>
      <c r="E161" s="321" t="s">
        <v>37</v>
      </c>
      <c r="F161" s="275">
        <v>11</v>
      </c>
      <c r="G161" s="275">
        <v>11</v>
      </c>
      <c r="H161" s="272">
        <v>15</v>
      </c>
      <c r="I161" s="321">
        <v>19</v>
      </c>
      <c r="J161" s="321">
        <v>23</v>
      </c>
      <c r="K161" s="321">
        <v>43</v>
      </c>
      <c r="L161" s="321">
        <v>93</v>
      </c>
      <c r="M161" s="275">
        <v>150</v>
      </c>
      <c r="N161" s="293">
        <v>150</v>
      </c>
      <c r="O161" s="51">
        <f>MAX(F161:N167)</f>
        <v>150</v>
      </c>
    </row>
    <row r="162" spans="2:15" x14ac:dyDescent="0.25">
      <c r="B162" s="297" t="s">
        <v>28</v>
      </c>
      <c r="C162" s="500"/>
      <c r="D162" s="503"/>
      <c r="E162" s="321" t="s">
        <v>37</v>
      </c>
      <c r="F162" s="275">
        <v>7.2</v>
      </c>
      <c r="G162" s="275">
        <v>11</v>
      </c>
      <c r="H162" s="275">
        <v>11</v>
      </c>
      <c r="I162" s="321">
        <v>16</v>
      </c>
      <c r="J162" s="321">
        <v>15</v>
      </c>
      <c r="K162" s="321">
        <v>23</v>
      </c>
      <c r="L162" s="321">
        <v>43</v>
      </c>
      <c r="M162" s="275">
        <v>75</v>
      </c>
      <c r="N162" s="275">
        <v>75</v>
      </c>
      <c r="O162" s="51">
        <f>MIN(F161:N167)</f>
        <v>3.6</v>
      </c>
    </row>
    <row r="163" spans="2:15" x14ac:dyDescent="0.25">
      <c r="B163" s="297" t="s">
        <v>29</v>
      </c>
      <c r="C163" s="500"/>
      <c r="D163" s="503"/>
      <c r="E163" s="321" t="s">
        <v>37</v>
      </c>
      <c r="F163" s="275">
        <v>15</v>
      </c>
      <c r="G163" s="275">
        <v>11</v>
      </c>
      <c r="H163" s="275">
        <v>7.3</v>
      </c>
      <c r="I163" s="321">
        <v>9.1999999999999993</v>
      </c>
      <c r="J163" s="321">
        <v>11</v>
      </c>
      <c r="K163" s="321">
        <v>21</v>
      </c>
      <c r="L163" s="321">
        <v>35</v>
      </c>
      <c r="M163" s="275">
        <v>75</v>
      </c>
      <c r="N163" s="275">
        <v>75</v>
      </c>
    </row>
    <row r="164" spans="2:15" x14ac:dyDescent="0.25">
      <c r="B164" s="297" t="s">
        <v>30</v>
      </c>
      <c r="C164" s="500"/>
      <c r="D164" s="503"/>
      <c r="E164" s="321" t="s">
        <v>37</v>
      </c>
      <c r="F164" s="275">
        <v>7.3</v>
      </c>
      <c r="G164" s="275">
        <v>11</v>
      </c>
      <c r="H164" s="275">
        <v>16</v>
      </c>
      <c r="I164" s="321">
        <v>13</v>
      </c>
      <c r="J164" s="321">
        <v>15</v>
      </c>
      <c r="K164" s="321">
        <v>21</v>
      </c>
      <c r="L164" s="321">
        <v>43</v>
      </c>
      <c r="M164" s="275">
        <v>43</v>
      </c>
      <c r="N164" s="275">
        <v>43</v>
      </c>
    </row>
    <row r="165" spans="2:15" x14ac:dyDescent="0.25">
      <c r="B165" s="297" t="s">
        <v>31</v>
      </c>
      <c r="C165" s="500"/>
      <c r="D165" s="503"/>
      <c r="E165" s="321" t="s">
        <v>37</v>
      </c>
      <c r="F165" s="275">
        <v>9.3000000000000007</v>
      </c>
      <c r="G165" s="275">
        <v>11</v>
      </c>
      <c r="H165" s="275">
        <v>15</v>
      </c>
      <c r="I165" s="321">
        <v>12</v>
      </c>
      <c r="J165" s="321">
        <v>11</v>
      </c>
      <c r="K165" s="321">
        <v>24</v>
      </c>
      <c r="L165" s="321">
        <v>35</v>
      </c>
      <c r="M165" s="275">
        <v>43</v>
      </c>
      <c r="N165" s="275">
        <v>43</v>
      </c>
    </row>
    <row r="166" spans="2:15" x14ac:dyDescent="0.25">
      <c r="B166" s="297" t="s">
        <v>25</v>
      </c>
      <c r="C166" s="500"/>
      <c r="D166" s="503"/>
      <c r="E166" s="321" t="s">
        <v>37</v>
      </c>
      <c r="F166" s="292">
        <v>3.6</v>
      </c>
      <c r="G166" s="275">
        <v>7.3</v>
      </c>
      <c r="H166" s="275">
        <v>7.2</v>
      </c>
      <c r="I166" s="321">
        <v>9.1999999999999993</v>
      </c>
      <c r="J166" s="321">
        <v>9</v>
      </c>
      <c r="K166" s="321">
        <v>9</v>
      </c>
      <c r="L166" s="321">
        <v>15</v>
      </c>
      <c r="M166" s="275">
        <v>35</v>
      </c>
      <c r="N166" s="275">
        <v>35</v>
      </c>
    </row>
    <row r="167" spans="2:15" ht="15.75" thickBot="1" x14ac:dyDescent="0.3">
      <c r="B167" s="298" t="s">
        <v>32</v>
      </c>
      <c r="C167" s="501"/>
      <c r="D167" s="504"/>
      <c r="E167" s="322" t="s">
        <v>37</v>
      </c>
      <c r="F167" s="291">
        <v>9.1999999999999993</v>
      </c>
      <c r="G167" s="291">
        <v>3.6</v>
      </c>
      <c r="H167" s="291">
        <v>7.2</v>
      </c>
      <c r="I167" s="322">
        <v>7.3</v>
      </c>
      <c r="J167" s="322">
        <v>6</v>
      </c>
      <c r="K167" s="322">
        <v>6</v>
      </c>
      <c r="L167" s="322">
        <v>15</v>
      </c>
      <c r="M167" s="291">
        <v>15</v>
      </c>
      <c r="N167" s="291">
        <v>15</v>
      </c>
    </row>
    <row r="168" spans="2:15" ht="15.75" thickBot="1" x14ac:dyDescent="0.3"/>
    <row r="169" spans="2:15" ht="15.75" thickBot="1" x14ac:dyDescent="0.3">
      <c r="B169" s="522" t="s">
        <v>330</v>
      </c>
      <c r="C169" s="520"/>
      <c r="D169" s="520"/>
      <c r="E169" s="520"/>
      <c r="F169" s="520"/>
      <c r="G169" s="520"/>
      <c r="H169" s="520"/>
      <c r="I169" s="520"/>
      <c r="J169" s="520"/>
      <c r="K169" s="520"/>
      <c r="L169" s="520"/>
      <c r="M169" s="520"/>
      <c r="N169" s="523"/>
    </row>
    <row r="170" spans="2:15" ht="15.75" thickBot="1" x14ac:dyDescent="0.3">
      <c r="B170" s="487" t="s">
        <v>346</v>
      </c>
      <c r="C170" s="497" t="s">
        <v>33</v>
      </c>
      <c r="D170" s="516"/>
      <c r="E170" s="234" t="s">
        <v>337</v>
      </c>
      <c r="F170" s="234" t="s">
        <v>84</v>
      </c>
      <c r="G170" s="234" t="s">
        <v>338</v>
      </c>
      <c r="H170" s="234" t="s">
        <v>339</v>
      </c>
      <c r="I170" s="234" t="s">
        <v>340</v>
      </c>
      <c r="J170" s="234" t="s">
        <v>341</v>
      </c>
      <c r="K170" s="234" t="s">
        <v>342</v>
      </c>
      <c r="L170" s="234" t="s">
        <v>343</v>
      </c>
      <c r="M170" s="234" t="s">
        <v>344</v>
      </c>
      <c r="N170" s="234" t="s">
        <v>355</v>
      </c>
    </row>
    <row r="171" spans="2:15" ht="15.75" thickBot="1" x14ac:dyDescent="0.3">
      <c r="B171" s="488"/>
      <c r="C171" s="260" t="s">
        <v>298</v>
      </c>
      <c r="D171" s="261" t="s">
        <v>297</v>
      </c>
      <c r="E171" s="328" t="s">
        <v>367</v>
      </c>
      <c r="F171" s="328" t="s">
        <v>367</v>
      </c>
      <c r="G171" s="328" t="s">
        <v>367</v>
      </c>
      <c r="H171" s="328" t="s">
        <v>367</v>
      </c>
      <c r="I171" s="328" t="s">
        <v>367</v>
      </c>
      <c r="J171" s="328" t="s">
        <v>367</v>
      </c>
      <c r="K171" s="328" t="s">
        <v>367</v>
      </c>
      <c r="L171" s="328" t="s">
        <v>367</v>
      </c>
      <c r="M171" s="328" t="s">
        <v>367</v>
      </c>
      <c r="N171" s="328" t="s">
        <v>367</v>
      </c>
    </row>
    <row r="172" spans="2:15" x14ac:dyDescent="0.25">
      <c r="B172" s="234" t="s">
        <v>27</v>
      </c>
      <c r="C172" s="500">
        <v>1000</v>
      </c>
      <c r="D172" s="506">
        <v>1000</v>
      </c>
      <c r="E172" s="321" t="s">
        <v>37</v>
      </c>
      <c r="F172" s="275">
        <v>3.6</v>
      </c>
      <c r="G172" s="275">
        <v>3</v>
      </c>
      <c r="H172" s="275">
        <v>7.3</v>
      </c>
      <c r="I172" s="321">
        <v>9.3000000000000007</v>
      </c>
      <c r="J172" s="321">
        <v>9.1</v>
      </c>
      <c r="K172" s="321">
        <v>23</v>
      </c>
      <c r="L172" s="321">
        <v>43</v>
      </c>
      <c r="M172" s="330">
        <v>75</v>
      </c>
      <c r="N172" s="331">
        <v>150</v>
      </c>
      <c r="O172" s="51">
        <f>MAX(F172:N178)</f>
        <v>150</v>
      </c>
    </row>
    <row r="173" spans="2:15" x14ac:dyDescent="0.25">
      <c r="B173" s="235" t="s">
        <v>28</v>
      </c>
      <c r="C173" s="500"/>
      <c r="D173" s="506"/>
      <c r="E173" s="321" t="s">
        <v>37</v>
      </c>
      <c r="F173" s="275">
        <v>3.6</v>
      </c>
      <c r="G173" s="275">
        <v>7.2</v>
      </c>
      <c r="H173" s="275">
        <v>7.3</v>
      </c>
      <c r="I173" s="321">
        <v>11</v>
      </c>
      <c r="J173" s="321">
        <v>7.2</v>
      </c>
      <c r="K173" s="321">
        <v>9.1</v>
      </c>
      <c r="L173" s="321">
        <v>23</v>
      </c>
      <c r="M173" s="275">
        <v>43</v>
      </c>
      <c r="N173" s="275">
        <v>23</v>
      </c>
      <c r="O173" s="51">
        <f>MIN(F172:N178)</f>
        <v>3</v>
      </c>
    </row>
    <row r="174" spans="2:15" x14ac:dyDescent="0.25">
      <c r="B174" s="235" t="s">
        <v>29</v>
      </c>
      <c r="C174" s="500"/>
      <c r="D174" s="506"/>
      <c r="E174" s="321" t="s">
        <v>37</v>
      </c>
      <c r="F174" s="275">
        <v>3</v>
      </c>
      <c r="G174" s="275">
        <v>3</v>
      </c>
      <c r="H174" s="275">
        <v>3</v>
      </c>
      <c r="I174" s="321">
        <v>6.1</v>
      </c>
      <c r="J174" s="321">
        <v>7.2</v>
      </c>
      <c r="K174" s="321">
        <v>15</v>
      </c>
      <c r="L174" s="321">
        <v>28</v>
      </c>
      <c r="M174" s="275">
        <v>23</v>
      </c>
      <c r="N174" s="275">
        <v>23</v>
      </c>
    </row>
    <row r="175" spans="2:15" x14ac:dyDescent="0.25">
      <c r="B175" s="235" t="s">
        <v>30</v>
      </c>
      <c r="C175" s="500"/>
      <c r="D175" s="506"/>
      <c r="E175" s="321" t="s">
        <v>37</v>
      </c>
      <c r="F175" s="275">
        <v>3.6</v>
      </c>
      <c r="G175" s="275">
        <v>11</v>
      </c>
      <c r="H175" s="275">
        <v>11</v>
      </c>
      <c r="I175" s="321">
        <v>6.1</v>
      </c>
      <c r="J175" s="321">
        <v>11</v>
      </c>
      <c r="K175" s="321">
        <v>15</v>
      </c>
      <c r="L175" s="321">
        <v>23</v>
      </c>
      <c r="M175" s="275">
        <v>23</v>
      </c>
      <c r="N175" s="275">
        <v>23</v>
      </c>
    </row>
    <row r="176" spans="2:15" x14ac:dyDescent="0.25">
      <c r="B176" s="235" t="s">
        <v>31</v>
      </c>
      <c r="C176" s="500"/>
      <c r="D176" s="506"/>
      <c r="E176" s="321" t="s">
        <v>37</v>
      </c>
      <c r="F176" s="292">
        <v>3</v>
      </c>
      <c r="G176" s="275">
        <v>7.3</v>
      </c>
      <c r="H176" s="275">
        <v>7.3</v>
      </c>
      <c r="I176" s="321">
        <v>9.3000000000000007</v>
      </c>
      <c r="J176" s="321">
        <v>3.6</v>
      </c>
      <c r="K176" s="321">
        <v>15</v>
      </c>
      <c r="L176" s="321">
        <v>21</v>
      </c>
      <c r="M176" s="275">
        <v>15</v>
      </c>
      <c r="N176" s="275">
        <v>15</v>
      </c>
    </row>
    <row r="177" spans="2:14" x14ac:dyDescent="0.25">
      <c r="B177" s="235" t="s">
        <v>25</v>
      </c>
      <c r="C177" s="500"/>
      <c r="D177" s="506"/>
      <c r="E177" s="321" t="s">
        <v>37</v>
      </c>
      <c r="F177" s="292">
        <v>3</v>
      </c>
      <c r="G177" s="275">
        <v>7.3</v>
      </c>
      <c r="H177" s="275">
        <v>3.6</v>
      </c>
      <c r="I177" s="321">
        <v>3</v>
      </c>
      <c r="J177" s="321">
        <v>3</v>
      </c>
      <c r="K177" s="321">
        <v>3</v>
      </c>
      <c r="L177" s="321">
        <v>15</v>
      </c>
      <c r="M177" s="275">
        <v>14</v>
      </c>
      <c r="N177" s="275">
        <v>14</v>
      </c>
    </row>
    <row r="178" spans="2:14" ht="15.75" thickBot="1" x14ac:dyDescent="0.3">
      <c r="B178" s="236" t="s">
        <v>32</v>
      </c>
      <c r="C178" s="501"/>
      <c r="D178" s="507"/>
      <c r="E178" s="322" t="s">
        <v>37</v>
      </c>
      <c r="F178" s="329">
        <v>3</v>
      </c>
      <c r="G178" s="291">
        <v>3.6</v>
      </c>
      <c r="H178" s="291">
        <v>3.6</v>
      </c>
      <c r="I178" s="322">
        <v>3.6</v>
      </c>
      <c r="J178" s="322">
        <v>3</v>
      </c>
      <c r="K178" s="322">
        <v>3</v>
      </c>
      <c r="L178" s="322">
        <v>15</v>
      </c>
      <c r="M178" s="291">
        <v>9.1</v>
      </c>
      <c r="N178" s="291">
        <v>9.1</v>
      </c>
    </row>
  </sheetData>
  <mergeCells count="90">
    <mergeCell ref="B114:N114"/>
    <mergeCell ref="B115:B116"/>
    <mergeCell ref="C172:C178"/>
    <mergeCell ref="D172:D178"/>
    <mergeCell ref="C139:C145"/>
    <mergeCell ref="D139:D145"/>
    <mergeCell ref="C148:D148"/>
    <mergeCell ref="C150:C156"/>
    <mergeCell ref="D150:D156"/>
    <mergeCell ref="C159:D159"/>
    <mergeCell ref="C161:C167"/>
    <mergeCell ref="D161:D167"/>
    <mergeCell ref="B169:N169"/>
    <mergeCell ref="B170:B171"/>
    <mergeCell ref="C170:D170"/>
    <mergeCell ref="B147:N147"/>
    <mergeCell ref="C95:C101"/>
    <mergeCell ref="D95:D101"/>
    <mergeCell ref="C71:D71"/>
    <mergeCell ref="C73:C79"/>
    <mergeCell ref="B92:N92"/>
    <mergeCell ref="B93:B94"/>
    <mergeCell ref="B81:N81"/>
    <mergeCell ref="D73:D79"/>
    <mergeCell ref="C82:D82"/>
    <mergeCell ref="C84:C90"/>
    <mergeCell ref="D84:D90"/>
    <mergeCell ref="C93:D93"/>
    <mergeCell ref="C62:C68"/>
    <mergeCell ref="D62:D68"/>
    <mergeCell ref="B59:N59"/>
    <mergeCell ref="B37:B38"/>
    <mergeCell ref="B48:B49"/>
    <mergeCell ref="B47:N47"/>
    <mergeCell ref="K37:K38"/>
    <mergeCell ref="L37:L38"/>
    <mergeCell ref="N37:N38"/>
    <mergeCell ref="C50:C56"/>
    <mergeCell ref="D50:D56"/>
    <mergeCell ref="C60:D60"/>
    <mergeCell ref="C28:C34"/>
    <mergeCell ref="D28:D34"/>
    <mergeCell ref="C37:D37"/>
    <mergeCell ref="C39:C45"/>
    <mergeCell ref="D39:D45"/>
    <mergeCell ref="B148:B149"/>
    <mergeCell ref="B158:N158"/>
    <mergeCell ref="B159:B160"/>
    <mergeCell ref="B103:N103"/>
    <mergeCell ref="B104:B105"/>
    <mergeCell ref="C104:D104"/>
    <mergeCell ref="B136:N136"/>
    <mergeCell ref="B137:B138"/>
    <mergeCell ref="C137:D137"/>
    <mergeCell ref="C106:C112"/>
    <mergeCell ref="D106:D112"/>
    <mergeCell ref="C115:D115"/>
    <mergeCell ref="C117:C123"/>
    <mergeCell ref="D117:D123"/>
    <mergeCell ref="C126:D126"/>
    <mergeCell ref="C128:C134"/>
    <mergeCell ref="D128:D134"/>
    <mergeCell ref="B125:N125"/>
    <mergeCell ref="B126:B127"/>
    <mergeCell ref="B36:N36"/>
    <mergeCell ref="B70:N70"/>
    <mergeCell ref="B71:B72"/>
    <mergeCell ref="B60:B61"/>
    <mergeCell ref="B82:B83"/>
    <mergeCell ref="E37:E38"/>
    <mergeCell ref="F37:F38"/>
    <mergeCell ref="G37:G38"/>
    <mergeCell ref="H37:H38"/>
    <mergeCell ref="I37:I38"/>
    <mergeCell ref="J37:J38"/>
    <mergeCell ref="M37:M38"/>
    <mergeCell ref="C48:D48"/>
    <mergeCell ref="B26:B27"/>
    <mergeCell ref="B3:N3"/>
    <mergeCell ref="B14:N14"/>
    <mergeCell ref="B25:N25"/>
    <mergeCell ref="B4:B5"/>
    <mergeCell ref="B15:B16"/>
    <mergeCell ref="C26:D26"/>
    <mergeCell ref="C4:D4"/>
    <mergeCell ref="C6:C12"/>
    <mergeCell ref="D6:D12"/>
    <mergeCell ref="C15:D15"/>
    <mergeCell ref="C17:C23"/>
    <mergeCell ref="D17:D23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3:N122"/>
  <sheetViews>
    <sheetView showGridLines="0" topLeftCell="A4" zoomScale="140" zoomScaleNormal="140" workbookViewId="0">
      <selection activeCell="B14" sqref="B14:M14"/>
    </sheetView>
  </sheetViews>
  <sheetFormatPr baseColWidth="10" defaultColWidth="11.42578125" defaultRowHeight="15" x14ac:dyDescent="0.25"/>
  <cols>
    <col min="1" max="1" width="11.42578125" style="51"/>
    <col min="2" max="2" width="32.85546875" style="51" bestFit="1" customWidth="1"/>
    <col min="3" max="3" width="21.42578125" style="51" bestFit="1" customWidth="1"/>
    <col min="4" max="4" width="15.85546875" style="51" bestFit="1" customWidth="1"/>
    <col min="5" max="13" width="11.42578125" style="51"/>
    <col min="14" max="14" width="11.85546875" style="51" bestFit="1" customWidth="1"/>
    <col min="15" max="16384" width="11.42578125" style="51"/>
  </cols>
  <sheetData>
    <row r="3" spans="2:14" x14ac:dyDescent="0.25">
      <c r="B3" s="528" t="s">
        <v>46</v>
      </c>
      <c r="C3" s="528"/>
      <c r="D3" s="528"/>
      <c r="E3" s="528"/>
      <c r="F3" s="528"/>
      <c r="G3" s="528"/>
      <c r="H3" s="528"/>
      <c r="I3" s="528"/>
      <c r="J3" s="528"/>
      <c r="K3" s="528"/>
      <c r="L3" s="528"/>
      <c r="M3" s="528"/>
    </row>
    <row r="4" spans="2:14" x14ac:dyDescent="0.25">
      <c r="B4" s="529" t="s">
        <v>346</v>
      </c>
      <c r="C4" s="531" t="s">
        <v>33</v>
      </c>
      <c r="D4" s="531"/>
      <c r="E4" s="531" t="s">
        <v>337</v>
      </c>
      <c r="F4" s="531" t="s">
        <v>84</v>
      </c>
      <c r="G4" s="531" t="s">
        <v>338</v>
      </c>
      <c r="H4" s="531" t="s">
        <v>339</v>
      </c>
      <c r="I4" s="531" t="s">
        <v>340</v>
      </c>
      <c r="J4" s="531" t="s">
        <v>341</v>
      </c>
      <c r="K4" s="531" t="s">
        <v>342</v>
      </c>
      <c r="L4" s="531" t="s">
        <v>343</v>
      </c>
      <c r="M4" s="531" t="s">
        <v>344</v>
      </c>
    </row>
    <row r="5" spans="2:14" x14ac:dyDescent="0.25">
      <c r="B5" s="530"/>
      <c r="C5" s="174" t="s">
        <v>298</v>
      </c>
      <c r="D5" s="174" t="s">
        <v>297</v>
      </c>
      <c r="E5" s="531"/>
      <c r="F5" s="531"/>
      <c r="G5" s="531"/>
      <c r="H5" s="531"/>
      <c r="I5" s="531"/>
      <c r="J5" s="531"/>
      <c r="K5" s="531"/>
      <c r="L5" s="531"/>
      <c r="M5" s="531"/>
    </row>
    <row r="6" spans="2:14" x14ac:dyDescent="0.25">
      <c r="B6" s="175" t="s">
        <v>27</v>
      </c>
      <c r="C6" s="527">
        <v>1000</v>
      </c>
      <c r="D6" s="527">
        <v>1000</v>
      </c>
      <c r="E6" s="183">
        <v>140</v>
      </c>
      <c r="F6" s="182">
        <v>140</v>
      </c>
      <c r="G6" s="182">
        <v>198</v>
      </c>
      <c r="H6" s="182">
        <v>170</v>
      </c>
      <c r="I6" s="182">
        <v>195</v>
      </c>
      <c r="J6" s="182">
        <v>220</v>
      </c>
      <c r="K6" s="182">
        <v>185</v>
      </c>
      <c r="L6" s="182">
        <v>200</v>
      </c>
      <c r="M6" s="182">
        <v>175</v>
      </c>
      <c r="N6" s="51">
        <f>MAX(E6:M12)</f>
        <v>540</v>
      </c>
    </row>
    <row r="7" spans="2:14" x14ac:dyDescent="0.25">
      <c r="B7" s="175" t="s">
        <v>28</v>
      </c>
      <c r="C7" s="527"/>
      <c r="D7" s="527"/>
      <c r="E7" s="179">
        <v>132</v>
      </c>
      <c r="F7" s="176">
        <v>108</v>
      </c>
      <c r="G7" s="176">
        <v>111</v>
      </c>
      <c r="H7" s="176">
        <v>115</v>
      </c>
      <c r="I7" s="176">
        <v>170</v>
      </c>
      <c r="J7" s="176">
        <v>140</v>
      </c>
      <c r="K7" s="176">
        <v>140</v>
      </c>
      <c r="L7" s="176">
        <v>150</v>
      </c>
      <c r="M7" s="176">
        <v>190</v>
      </c>
      <c r="N7" s="51">
        <f>MIN(E6:M12)</f>
        <v>62</v>
      </c>
    </row>
    <row r="8" spans="2:14" x14ac:dyDescent="0.25">
      <c r="B8" s="175" t="s">
        <v>29</v>
      </c>
      <c r="C8" s="527"/>
      <c r="D8" s="527"/>
      <c r="E8" s="179">
        <v>138</v>
      </c>
      <c r="F8" s="176">
        <v>118</v>
      </c>
      <c r="G8" s="176">
        <v>192</v>
      </c>
      <c r="H8" s="176">
        <v>130</v>
      </c>
      <c r="I8" s="176">
        <v>175</v>
      </c>
      <c r="J8" s="176">
        <v>230</v>
      </c>
      <c r="K8" s="176">
        <v>165</v>
      </c>
      <c r="L8" s="176">
        <v>190</v>
      </c>
      <c r="M8" s="176">
        <v>160</v>
      </c>
    </row>
    <row r="9" spans="2:14" x14ac:dyDescent="0.25">
      <c r="B9" s="175" t="s">
        <v>30</v>
      </c>
      <c r="C9" s="527"/>
      <c r="D9" s="527"/>
      <c r="E9" s="179">
        <v>136</v>
      </c>
      <c r="F9" s="176">
        <v>240</v>
      </c>
      <c r="G9" s="181">
        <v>213</v>
      </c>
      <c r="H9" s="176">
        <v>110</v>
      </c>
      <c r="I9" s="176">
        <v>165</v>
      </c>
      <c r="J9" s="176">
        <v>230</v>
      </c>
      <c r="K9" s="176">
        <v>180</v>
      </c>
      <c r="L9" s="176">
        <v>195</v>
      </c>
      <c r="M9" s="176">
        <v>170</v>
      </c>
    </row>
    <row r="10" spans="2:14" x14ac:dyDescent="0.25">
      <c r="B10" s="175" t="s">
        <v>31</v>
      </c>
      <c r="C10" s="527"/>
      <c r="D10" s="527"/>
      <c r="E10" s="179">
        <v>134</v>
      </c>
      <c r="F10" s="178">
        <v>100</v>
      </c>
      <c r="G10" s="176">
        <v>189</v>
      </c>
      <c r="H10" s="179">
        <v>135</v>
      </c>
      <c r="I10" s="176">
        <v>130</v>
      </c>
      <c r="J10" s="176">
        <v>205</v>
      </c>
      <c r="K10" s="176">
        <v>180</v>
      </c>
      <c r="L10" s="176">
        <v>230</v>
      </c>
      <c r="M10" s="176">
        <v>225</v>
      </c>
    </row>
    <row r="11" spans="2:14" x14ac:dyDescent="0.25">
      <c r="B11" s="175" t="s">
        <v>25</v>
      </c>
      <c r="C11" s="527"/>
      <c r="D11" s="527"/>
      <c r="E11" s="179">
        <v>65</v>
      </c>
      <c r="F11" s="176">
        <v>74</v>
      </c>
      <c r="G11" s="176">
        <v>84</v>
      </c>
      <c r="H11" s="176">
        <v>400</v>
      </c>
      <c r="I11" s="176">
        <v>100</v>
      </c>
      <c r="J11" s="176">
        <v>130</v>
      </c>
      <c r="K11" s="176">
        <v>110</v>
      </c>
      <c r="L11" s="176">
        <v>100</v>
      </c>
      <c r="M11" s="176">
        <v>140</v>
      </c>
    </row>
    <row r="12" spans="2:14" x14ac:dyDescent="0.25">
      <c r="B12" s="175" t="s">
        <v>32</v>
      </c>
      <c r="C12" s="527"/>
      <c r="D12" s="527"/>
      <c r="E12" s="180">
        <v>62</v>
      </c>
      <c r="F12" s="176">
        <v>66</v>
      </c>
      <c r="G12" s="176">
        <v>87</v>
      </c>
      <c r="H12" s="177">
        <v>540</v>
      </c>
      <c r="I12" s="176">
        <v>125</v>
      </c>
      <c r="J12" s="176">
        <v>120</v>
      </c>
      <c r="K12" s="176">
        <v>85</v>
      </c>
      <c r="L12" s="176">
        <v>95</v>
      </c>
      <c r="M12" s="176">
        <v>125</v>
      </c>
    </row>
    <row r="14" spans="2:14" x14ac:dyDescent="0.25">
      <c r="B14" s="528" t="s">
        <v>47</v>
      </c>
      <c r="C14" s="528"/>
      <c r="D14" s="528"/>
      <c r="E14" s="528"/>
      <c r="F14" s="528"/>
      <c r="G14" s="528"/>
      <c r="H14" s="528"/>
      <c r="I14" s="528"/>
      <c r="J14" s="528"/>
      <c r="K14" s="528"/>
      <c r="L14" s="528"/>
      <c r="M14" s="528"/>
    </row>
    <row r="15" spans="2:14" x14ac:dyDescent="0.25">
      <c r="B15" s="529" t="s">
        <v>346</v>
      </c>
      <c r="C15" s="531" t="s">
        <v>33</v>
      </c>
      <c r="D15" s="531"/>
      <c r="E15" s="531" t="s">
        <v>337</v>
      </c>
      <c r="F15" s="531" t="s">
        <v>84</v>
      </c>
      <c r="G15" s="531" t="s">
        <v>338</v>
      </c>
      <c r="H15" s="531" t="s">
        <v>339</v>
      </c>
      <c r="I15" s="531" t="s">
        <v>340</v>
      </c>
      <c r="J15" s="531" t="s">
        <v>341</v>
      </c>
      <c r="K15" s="531" t="s">
        <v>342</v>
      </c>
      <c r="L15" s="531" t="s">
        <v>343</v>
      </c>
      <c r="M15" s="531" t="s">
        <v>344</v>
      </c>
    </row>
    <row r="16" spans="2:14" x14ac:dyDescent="0.25">
      <c r="B16" s="530"/>
      <c r="C16" s="174" t="s">
        <v>298</v>
      </c>
      <c r="D16" s="174" t="s">
        <v>297</v>
      </c>
      <c r="E16" s="531"/>
      <c r="F16" s="531"/>
      <c r="G16" s="531"/>
      <c r="H16" s="531"/>
      <c r="I16" s="531"/>
      <c r="J16" s="531"/>
      <c r="K16" s="531"/>
      <c r="L16" s="531"/>
      <c r="M16" s="531"/>
    </row>
    <row r="17" spans="2:14" x14ac:dyDescent="0.25">
      <c r="B17" s="175" t="s">
        <v>27</v>
      </c>
      <c r="C17" s="527">
        <v>500</v>
      </c>
      <c r="D17" s="527" t="s">
        <v>350</v>
      </c>
      <c r="E17" s="185">
        <v>5.9</v>
      </c>
      <c r="F17" s="191">
        <v>976</v>
      </c>
      <c r="G17" s="186">
        <v>52.800000000000004</v>
      </c>
      <c r="H17" s="186">
        <v>331.2</v>
      </c>
      <c r="I17" s="186" t="s">
        <v>37</v>
      </c>
      <c r="J17" s="186" t="s">
        <v>37</v>
      </c>
      <c r="K17" s="186" t="s">
        <v>37</v>
      </c>
      <c r="L17" s="186" t="s">
        <v>37</v>
      </c>
      <c r="M17" s="186">
        <v>341.89398000000006</v>
      </c>
      <c r="N17" s="51">
        <f>MAX(E17:M23)</f>
        <v>976</v>
      </c>
    </row>
    <row r="18" spans="2:14" x14ac:dyDescent="0.25">
      <c r="B18" s="175" t="s">
        <v>28</v>
      </c>
      <c r="C18" s="527"/>
      <c r="D18" s="527"/>
      <c r="E18" s="187">
        <v>6.9</v>
      </c>
      <c r="F18" s="188">
        <v>698</v>
      </c>
      <c r="G18" s="188">
        <v>51.900000000000006</v>
      </c>
      <c r="H18" s="188">
        <v>76.400000000000006</v>
      </c>
      <c r="I18" s="188" t="s">
        <v>37</v>
      </c>
      <c r="J18" s="188" t="s">
        <v>37</v>
      </c>
      <c r="K18" s="188" t="s">
        <v>37</v>
      </c>
      <c r="L18" s="188" t="s">
        <v>37</v>
      </c>
      <c r="M18" s="188">
        <v>352.39072500000003</v>
      </c>
      <c r="N18" s="51">
        <f>MIN(E17:M23)</f>
        <v>3.3</v>
      </c>
    </row>
    <row r="19" spans="2:14" x14ac:dyDescent="0.25">
      <c r="B19" s="175" t="s">
        <v>29</v>
      </c>
      <c r="C19" s="527"/>
      <c r="D19" s="527"/>
      <c r="E19" s="184">
        <v>3.3</v>
      </c>
      <c r="F19" s="188">
        <v>907</v>
      </c>
      <c r="G19" s="188">
        <v>15</v>
      </c>
      <c r="H19" s="188">
        <v>26.8</v>
      </c>
      <c r="I19" s="188" t="s">
        <v>37</v>
      </c>
      <c r="J19" s="188" t="s">
        <v>37</v>
      </c>
      <c r="K19" s="188" t="s">
        <v>37</v>
      </c>
      <c r="L19" s="188" t="s">
        <v>37</v>
      </c>
      <c r="M19" s="188">
        <v>278.91350999999997</v>
      </c>
    </row>
    <row r="20" spans="2:14" x14ac:dyDescent="0.25">
      <c r="B20" s="175" t="s">
        <v>30</v>
      </c>
      <c r="C20" s="527"/>
      <c r="D20" s="527"/>
      <c r="E20" s="187">
        <v>5.6</v>
      </c>
      <c r="F20" s="188">
        <v>850</v>
      </c>
      <c r="G20" s="189">
        <v>23.700000000000003</v>
      </c>
      <c r="H20" s="188">
        <v>46.4</v>
      </c>
      <c r="I20" s="188" t="s">
        <v>37</v>
      </c>
      <c r="J20" s="188" t="s">
        <v>37</v>
      </c>
      <c r="K20" s="188" t="s">
        <v>37</v>
      </c>
      <c r="L20" s="188" t="s">
        <v>37</v>
      </c>
      <c r="M20" s="188">
        <v>200.93769</v>
      </c>
    </row>
    <row r="21" spans="2:14" x14ac:dyDescent="0.25">
      <c r="B21" s="175" t="s">
        <v>31</v>
      </c>
      <c r="C21" s="527"/>
      <c r="D21" s="527"/>
      <c r="E21" s="187">
        <v>7.9</v>
      </c>
      <c r="F21" s="190">
        <v>630</v>
      </c>
      <c r="G21" s="188">
        <v>30.900000000000002</v>
      </c>
      <c r="H21" s="187">
        <v>43.2</v>
      </c>
      <c r="I21" s="188" t="s">
        <v>37</v>
      </c>
      <c r="J21" s="188" t="s">
        <v>37</v>
      </c>
      <c r="K21" s="188" t="s">
        <v>37</v>
      </c>
      <c r="L21" s="188" t="s">
        <v>37</v>
      </c>
      <c r="M21" s="188">
        <v>182.94326999999998</v>
      </c>
    </row>
    <row r="22" spans="2:14" x14ac:dyDescent="0.25">
      <c r="B22" s="175" t="s">
        <v>25</v>
      </c>
      <c r="C22" s="527"/>
      <c r="D22" s="527"/>
      <c r="E22" s="187">
        <v>4.3</v>
      </c>
      <c r="F22" s="188">
        <v>143</v>
      </c>
      <c r="G22" s="188">
        <v>7.5</v>
      </c>
      <c r="H22" s="188">
        <v>157.6</v>
      </c>
      <c r="I22" s="188" t="s">
        <v>37</v>
      </c>
      <c r="J22" s="188" t="s">
        <v>37</v>
      </c>
      <c r="K22" s="188" t="s">
        <v>37</v>
      </c>
      <c r="L22" s="188" t="s">
        <v>37</v>
      </c>
      <c r="M22" s="188">
        <v>71.977679999999992</v>
      </c>
    </row>
    <row r="23" spans="2:14" x14ac:dyDescent="0.25">
      <c r="B23" s="175" t="s">
        <v>32</v>
      </c>
      <c r="C23" s="527"/>
      <c r="D23" s="527"/>
      <c r="E23" s="187">
        <v>4.4000000000000004</v>
      </c>
      <c r="F23" s="188">
        <v>117</v>
      </c>
      <c r="G23" s="188">
        <v>13.5</v>
      </c>
      <c r="H23" s="188">
        <v>22.4</v>
      </c>
      <c r="I23" s="188" t="s">
        <v>37</v>
      </c>
      <c r="J23" s="188" t="s">
        <v>37</v>
      </c>
      <c r="K23" s="188" t="s">
        <v>37</v>
      </c>
      <c r="L23" s="188" t="s">
        <v>37</v>
      </c>
      <c r="M23" s="188">
        <v>38.987909999999999</v>
      </c>
    </row>
    <row r="25" spans="2:14" x14ac:dyDescent="0.25">
      <c r="B25" s="528" t="s">
        <v>351</v>
      </c>
      <c r="C25" s="528"/>
      <c r="D25" s="528"/>
      <c r="E25" s="528"/>
      <c r="F25" s="528"/>
      <c r="G25" s="528"/>
      <c r="H25" s="528"/>
      <c r="I25" s="528"/>
      <c r="J25" s="528"/>
      <c r="K25" s="528"/>
      <c r="L25" s="528"/>
      <c r="M25" s="528"/>
    </row>
    <row r="26" spans="2:14" x14ac:dyDescent="0.25">
      <c r="B26" s="529" t="s">
        <v>346</v>
      </c>
      <c r="C26" s="531" t="s">
        <v>33</v>
      </c>
      <c r="D26" s="531"/>
      <c r="E26" s="531" t="s">
        <v>337</v>
      </c>
      <c r="F26" s="531" t="s">
        <v>84</v>
      </c>
      <c r="G26" s="531" t="s">
        <v>338</v>
      </c>
      <c r="H26" s="531" t="s">
        <v>339</v>
      </c>
      <c r="I26" s="531" t="s">
        <v>340</v>
      </c>
      <c r="J26" s="531" t="s">
        <v>341</v>
      </c>
      <c r="K26" s="531" t="s">
        <v>342</v>
      </c>
      <c r="L26" s="531" t="s">
        <v>343</v>
      </c>
      <c r="M26" s="531" t="s">
        <v>344</v>
      </c>
    </row>
    <row r="27" spans="2:14" x14ac:dyDescent="0.25">
      <c r="B27" s="530"/>
      <c r="C27" s="174" t="s">
        <v>298</v>
      </c>
      <c r="D27" s="174" t="s">
        <v>297</v>
      </c>
      <c r="E27" s="531"/>
      <c r="F27" s="531"/>
      <c r="G27" s="531"/>
      <c r="H27" s="531"/>
      <c r="I27" s="531"/>
      <c r="J27" s="531"/>
      <c r="K27" s="531"/>
      <c r="L27" s="531"/>
      <c r="M27" s="531"/>
    </row>
    <row r="28" spans="2:14" x14ac:dyDescent="0.25">
      <c r="B28" s="175" t="s">
        <v>27</v>
      </c>
      <c r="C28" s="527">
        <v>100</v>
      </c>
      <c r="D28" s="527">
        <v>100</v>
      </c>
      <c r="E28" s="192">
        <v>5.4</v>
      </c>
      <c r="F28" s="193">
        <v>6.8</v>
      </c>
      <c r="G28" s="193">
        <v>9.8000000000000007</v>
      </c>
      <c r="H28" s="193" t="s">
        <v>323</v>
      </c>
      <c r="I28" s="193">
        <v>4.3</v>
      </c>
      <c r="J28" s="193">
        <v>3.1</v>
      </c>
      <c r="K28" s="193">
        <v>5.4</v>
      </c>
      <c r="L28" s="193">
        <v>12.4</v>
      </c>
      <c r="M28" s="193">
        <v>10.8</v>
      </c>
      <c r="N28" s="51">
        <f>MAX(E28:M34)</f>
        <v>13.7</v>
      </c>
    </row>
    <row r="29" spans="2:14" x14ac:dyDescent="0.25">
      <c r="B29" s="175" t="s">
        <v>28</v>
      </c>
      <c r="C29" s="527"/>
      <c r="D29" s="527"/>
      <c r="E29" s="194">
        <v>6.5</v>
      </c>
      <c r="F29" s="195">
        <v>5.5</v>
      </c>
      <c r="G29" s="195">
        <v>7</v>
      </c>
      <c r="H29" s="195">
        <v>6.5</v>
      </c>
      <c r="I29" s="195">
        <v>5.3</v>
      </c>
      <c r="J29" s="195">
        <v>4.0999999999999996</v>
      </c>
      <c r="K29" s="195">
        <v>4.7</v>
      </c>
      <c r="L29" s="195">
        <v>11.6</v>
      </c>
      <c r="M29" s="195">
        <v>10.199999999999999</v>
      </c>
      <c r="N29" s="51">
        <f>MIN(E28:M34)</f>
        <v>0.5</v>
      </c>
    </row>
    <row r="30" spans="2:14" x14ac:dyDescent="0.25">
      <c r="B30" s="175" t="s">
        <v>29</v>
      </c>
      <c r="C30" s="527"/>
      <c r="D30" s="527"/>
      <c r="E30" s="194">
        <v>5.6</v>
      </c>
      <c r="F30" s="195">
        <v>5</v>
      </c>
      <c r="G30" s="195">
        <v>5.7</v>
      </c>
      <c r="H30" s="195">
        <v>5.6</v>
      </c>
      <c r="I30" s="195">
        <v>5.5</v>
      </c>
      <c r="J30" s="195">
        <v>3.1</v>
      </c>
      <c r="K30" s="195">
        <v>5.0999999999999996</v>
      </c>
      <c r="L30" s="195">
        <v>12.6</v>
      </c>
      <c r="M30" s="195">
        <v>9.3000000000000007</v>
      </c>
    </row>
    <row r="31" spans="2:14" x14ac:dyDescent="0.25">
      <c r="B31" s="175" t="s">
        <v>30</v>
      </c>
      <c r="C31" s="527"/>
      <c r="D31" s="527"/>
      <c r="E31" s="194">
        <v>5.2</v>
      </c>
      <c r="F31" s="195">
        <v>4.2</v>
      </c>
      <c r="G31" s="196">
        <v>2</v>
      </c>
      <c r="H31" s="195">
        <v>3.5</v>
      </c>
      <c r="I31" s="195">
        <v>5.2</v>
      </c>
      <c r="J31" s="195">
        <v>3.2</v>
      </c>
      <c r="K31" s="195">
        <v>5</v>
      </c>
      <c r="L31" s="195">
        <v>12.3</v>
      </c>
      <c r="M31" s="195">
        <v>9.5</v>
      </c>
    </row>
    <row r="32" spans="2:14" x14ac:dyDescent="0.25">
      <c r="B32" s="175" t="s">
        <v>31</v>
      </c>
      <c r="C32" s="527"/>
      <c r="D32" s="527"/>
      <c r="E32" s="194">
        <v>6.5</v>
      </c>
      <c r="F32" s="197">
        <v>3.1</v>
      </c>
      <c r="G32" s="195">
        <v>4.8</v>
      </c>
      <c r="H32" s="194">
        <v>4.2</v>
      </c>
      <c r="I32" s="195">
        <v>3.9</v>
      </c>
      <c r="J32" s="195">
        <v>3.4</v>
      </c>
      <c r="K32" s="195">
        <v>4.9000000000000004</v>
      </c>
      <c r="L32" s="198">
        <v>13.7</v>
      </c>
      <c r="M32" s="195">
        <v>8.8000000000000007</v>
      </c>
    </row>
    <row r="33" spans="2:14" x14ac:dyDescent="0.25">
      <c r="B33" s="175" t="s">
        <v>25</v>
      </c>
      <c r="C33" s="527"/>
      <c r="D33" s="527"/>
      <c r="E33" s="194">
        <v>3.4</v>
      </c>
      <c r="F33" s="195">
        <v>0.7</v>
      </c>
      <c r="G33" s="195">
        <v>2.6</v>
      </c>
      <c r="H33" s="195">
        <v>7.8</v>
      </c>
      <c r="I33" s="195">
        <v>0.8</v>
      </c>
      <c r="J33" s="199">
        <v>0.5</v>
      </c>
      <c r="K33" s="195">
        <v>1.1000000000000001</v>
      </c>
      <c r="L33" s="195">
        <v>10.3</v>
      </c>
      <c r="M33" s="195">
        <v>7.6</v>
      </c>
    </row>
    <row r="34" spans="2:14" x14ac:dyDescent="0.25">
      <c r="B34" s="175" t="s">
        <v>32</v>
      </c>
      <c r="C34" s="527"/>
      <c r="D34" s="527"/>
      <c r="E34" s="194">
        <v>4.5999999999999996</v>
      </c>
      <c r="F34" s="195">
        <v>1</v>
      </c>
      <c r="G34" s="195">
        <v>1.5</v>
      </c>
      <c r="H34" s="195">
        <v>10</v>
      </c>
      <c r="I34" s="195">
        <v>1.1000000000000001</v>
      </c>
      <c r="J34" s="195">
        <v>1</v>
      </c>
      <c r="K34" s="195">
        <v>1.2</v>
      </c>
      <c r="L34" s="195">
        <v>11.2</v>
      </c>
      <c r="M34" s="195">
        <v>5</v>
      </c>
    </row>
    <row r="36" spans="2:14" x14ac:dyDescent="0.25">
      <c r="B36" s="528" t="s">
        <v>352</v>
      </c>
      <c r="C36" s="528"/>
      <c r="D36" s="528"/>
      <c r="E36" s="528"/>
      <c r="F36" s="528"/>
      <c r="G36" s="528"/>
      <c r="H36" s="528"/>
      <c r="I36" s="528"/>
      <c r="J36" s="528"/>
      <c r="K36" s="528"/>
      <c r="L36" s="528"/>
      <c r="M36" s="528"/>
    </row>
    <row r="37" spans="2:14" x14ac:dyDescent="0.25">
      <c r="B37" s="529" t="s">
        <v>346</v>
      </c>
      <c r="C37" s="531" t="s">
        <v>33</v>
      </c>
      <c r="D37" s="531"/>
      <c r="E37" s="531" t="s">
        <v>337</v>
      </c>
      <c r="F37" s="531" t="s">
        <v>84</v>
      </c>
      <c r="G37" s="531" t="s">
        <v>338</v>
      </c>
      <c r="H37" s="531" t="s">
        <v>339</v>
      </c>
      <c r="I37" s="531" t="s">
        <v>340</v>
      </c>
      <c r="J37" s="531" t="s">
        <v>341</v>
      </c>
      <c r="K37" s="531" t="s">
        <v>342</v>
      </c>
      <c r="L37" s="531" t="s">
        <v>343</v>
      </c>
      <c r="M37" s="531" t="s">
        <v>344</v>
      </c>
    </row>
    <row r="38" spans="2:14" x14ac:dyDescent="0.25">
      <c r="B38" s="530"/>
      <c r="C38" s="174" t="s">
        <v>298</v>
      </c>
      <c r="D38" s="174" t="s">
        <v>297</v>
      </c>
      <c r="E38" s="531"/>
      <c r="F38" s="531"/>
      <c r="G38" s="531"/>
      <c r="H38" s="531"/>
      <c r="I38" s="531"/>
      <c r="J38" s="531"/>
      <c r="K38" s="531"/>
      <c r="L38" s="531"/>
      <c r="M38" s="531"/>
    </row>
    <row r="39" spans="2:14" x14ac:dyDescent="0.25">
      <c r="B39" s="175" t="s">
        <v>27</v>
      </c>
      <c r="C39" s="527">
        <v>10</v>
      </c>
      <c r="D39" s="527">
        <v>10</v>
      </c>
      <c r="E39" s="192">
        <v>11</v>
      </c>
      <c r="F39" s="193" t="s">
        <v>37</v>
      </c>
      <c r="G39" s="193" t="s">
        <v>37</v>
      </c>
      <c r="H39" s="193" t="s">
        <v>37</v>
      </c>
      <c r="I39" s="193" t="s">
        <v>37</v>
      </c>
      <c r="J39" s="193" t="s">
        <v>37</v>
      </c>
      <c r="K39" s="193" t="s">
        <v>37</v>
      </c>
      <c r="L39" s="193" t="s">
        <v>37</v>
      </c>
      <c r="M39" s="193">
        <v>5</v>
      </c>
      <c r="N39" s="51">
        <f>MAX(E39:M45)</f>
        <v>30</v>
      </c>
    </row>
    <row r="40" spans="2:14" x14ac:dyDescent="0.25">
      <c r="B40" s="175" t="s">
        <v>28</v>
      </c>
      <c r="C40" s="527"/>
      <c r="D40" s="527"/>
      <c r="E40" s="194">
        <v>13</v>
      </c>
      <c r="F40" s="195" t="s">
        <v>37</v>
      </c>
      <c r="G40" s="195" t="s">
        <v>37</v>
      </c>
      <c r="H40" s="195" t="s">
        <v>37</v>
      </c>
      <c r="I40" s="195" t="s">
        <v>37</v>
      </c>
      <c r="J40" s="195" t="s">
        <v>37</v>
      </c>
      <c r="K40" s="195" t="s">
        <v>37</v>
      </c>
      <c r="L40" s="195" t="s">
        <v>37</v>
      </c>
      <c r="M40" s="195">
        <v>8</v>
      </c>
      <c r="N40" s="51">
        <f>MIN(E39:M45)</f>
        <v>5</v>
      </c>
    </row>
    <row r="41" spans="2:14" x14ac:dyDescent="0.25">
      <c r="B41" s="175" t="s">
        <v>29</v>
      </c>
      <c r="C41" s="527"/>
      <c r="D41" s="527"/>
      <c r="E41" s="194">
        <v>9</v>
      </c>
      <c r="F41" s="195" t="s">
        <v>37</v>
      </c>
      <c r="G41" s="195" t="s">
        <v>37</v>
      </c>
      <c r="H41" s="195" t="s">
        <v>37</v>
      </c>
      <c r="I41" s="195" t="s">
        <v>37</v>
      </c>
      <c r="J41" s="195" t="s">
        <v>37</v>
      </c>
      <c r="K41" s="195" t="s">
        <v>37</v>
      </c>
      <c r="L41" s="195" t="s">
        <v>37</v>
      </c>
      <c r="M41" s="195">
        <v>7</v>
      </c>
    </row>
    <row r="42" spans="2:14" x14ac:dyDescent="0.25">
      <c r="B42" s="175" t="s">
        <v>30</v>
      </c>
      <c r="C42" s="527"/>
      <c r="D42" s="527"/>
      <c r="E42" s="194">
        <v>14</v>
      </c>
      <c r="F42" s="195" t="s">
        <v>37</v>
      </c>
      <c r="G42" s="196" t="s">
        <v>37</v>
      </c>
      <c r="H42" s="195" t="s">
        <v>37</v>
      </c>
      <c r="I42" s="195" t="s">
        <v>37</v>
      </c>
      <c r="J42" s="195" t="s">
        <v>37</v>
      </c>
      <c r="K42" s="195" t="s">
        <v>37</v>
      </c>
      <c r="L42" s="195" t="s">
        <v>37</v>
      </c>
      <c r="M42" s="195">
        <v>10</v>
      </c>
    </row>
    <row r="43" spans="2:14" x14ac:dyDescent="0.25">
      <c r="B43" s="175" t="s">
        <v>31</v>
      </c>
      <c r="C43" s="527"/>
      <c r="D43" s="527"/>
      <c r="E43" s="194">
        <v>20</v>
      </c>
      <c r="F43" s="197" t="s">
        <v>37</v>
      </c>
      <c r="G43" s="195" t="s">
        <v>37</v>
      </c>
      <c r="H43" s="194" t="s">
        <v>37</v>
      </c>
      <c r="I43" s="195" t="s">
        <v>37</v>
      </c>
      <c r="J43" s="195" t="s">
        <v>37</v>
      </c>
      <c r="K43" s="195" t="s">
        <v>37</v>
      </c>
      <c r="L43" s="195" t="s">
        <v>37</v>
      </c>
      <c r="M43" s="199">
        <v>5</v>
      </c>
    </row>
    <row r="44" spans="2:14" x14ac:dyDescent="0.25">
      <c r="B44" s="175" t="s">
        <v>25</v>
      </c>
      <c r="C44" s="527"/>
      <c r="D44" s="527"/>
      <c r="E44" s="194">
        <v>14</v>
      </c>
      <c r="F44" s="195" t="s">
        <v>37</v>
      </c>
      <c r="G44" s="195" t="s">
        <v>37</v>
      </c>
      <c r="H44" s="195" t="s">
        <v>37</v>
      </c>
      <c r="I44" s="195" t="s">
        <v>37</v>
      </c>
      <c r="J44" s="195" t="s">
        <v>37</v>
      </c>
      <c r="K44" s="195" t="s">
        <v>37</v>
      </c>
      <c r="L44" s="195" t="s">
        <v>37</v>
      </c>
      <c r="M44" s="195">
        <v>8</v>
      </c>
    </row>
    <row r="45" spans="2:14" x14ac:dyDescent="0.25">
      <c r="B45" s="175" t="s">
        <v>32</v>
      </c>
      <c r="C45" s="527"/>
      <c r="D45" s="527"/>
      <c r="E45" s="200">
        <v>30</v>
      </c>
      <c r="F45" s="195" t="s">
        <v>37</v>
      </c>
      <c r="G45" s="195" t="s">
        <v>37</v>
      </c>
      <c r="H45" s="195" t="s">
        <v>37</v>
      </c>
      <c r="I45" s="195" t="s">
        <v>37</v>
      </c>
      <c r="J45" s="195" t="s">
        <v>37</v>
      </c>
      <c r="K45" s="195" t="s">
        <v>37</v>
      </c>
      <c r="L45" s="195" t="s">
        <v>37</v>
      </c>
      <c r="M45" s="195">
        <v>6</v>
      </c>
    </row>
    <row r="47" spans="2:14" x14ac:dyDescent="0.25">
      <c r="B47" s="528" t="s">
        <v>51</v>
      </c>
      <c r="C47" s="528"/>
      <c r="D47" s="528"/>
      <c r="E47" s="528"/>
      <c r="F47" s="528"/>
      <c r="G47" s="528"/>
      <c r="H47" s="528"/>
      <c r="I47" s="528"/>
      <c r="J47" s="528"/>
      <c r="K47" s="528"/>
      <c r="L47" s="528"/>
      <c r="M47" s="528"/>
    </row>
    <row r="48" spans="2:14" x14ac:dyDescent="0.25">
      <c r="B48" s="529" t="s">
        <v>346</v>
      </c>
      <c r="C48" s="531" t="s">
        <v>33</v>
      </c>
      <c r="D48" s="531"/>
      <c r="E48" s="531" t="s">
        <v>337</v>
      </c>
      <c r="F48" s="531" t="s">
        <v>84</v>
      </c>
      <c r="G48" s="531" t="s">
        <v>338</v>
      </c>
      <c r="H48" s="531" t="s">
        <v>339</v>
      </c>
      <c r="I48" s="531" t="s">
        <v>340</v>
      </c>
      <c r="J48" s="531" t="s">
        <v>341</v>
      </c>
      <c r="K48" s="531" t="s">
        <v>342</v>
      </c>
      <c r="L48" s="531" t="s">
        <v>343</v>
      </c>
      <c r="M48" s="531" t="s">
        <v>344</v>
      </c>
    </row>
    <row r="49" spans="2:14" x14ac:dyDescent="0.25">
      <c r="B49" s="530"/>
      <c r="C49" s="174" t="s">
        <v>298</v>
      </c>
      <c r="D49" s="174" t="s">
        <v>297</v>
      </c>
      <c r="E49" s="531"/>
      <c r="F49" s="531"/>
      <c r="G49" s="531"/>
      <c r="H49" s="531"/>
      <c r="I49" s="531"/>
      <c r="J49" s="531"/>
      <c r="K49" s="531"/>
      <c r="L49" s="531"/>
      <c r="M49" s="531"/>
    </row>
    <row r="50" spans="2:14" x14ac:dyDescent="0.25">
      <c r="B50" s="175" t="s">
        <v>27</v>
      </c>
      <c r="C50" s="527">
        <v>0.2</v>
      </c>
      <c r="D50" s="527">
        <v>0.5</v>
      </c>
      <c r="E50" s="201">
        <v>0.84</v>
      </c>
      <c r="F50" s="202">
        <v>1.53</v>
      </c>
      <c r="G50" s="202">
        <v>3.71</v>
      </c>
      <c r="H50" s="202">
        <v>2.9</v>
      </c>
      <c r="I50" s="202">
        <v>0.06</v>
      </c>
      <c r="J50" s="202">
        <v>0.39</v>
      </c>
      <c r="K50" s="202">
        <v>0.26300000000000001</v>
      </c>
      <c r="L50" s="202">
        <v>0.51</v>
      </c>
      <c r="M50" s="202">
        <v>1.38</v>
      </c>
      <c r="N50" s="51">
        <f>MAX(E50:M56)</f>
        <v>9.24</v>
      </c>
    </row>
    <row r="51" spans="2:14" x14ac:dyDescent="0.25">
      <c r="B51" s="175" t="s">
        <v>28</v>
      </c>
      <c r="C51" s="527"/>
      <c r="D51" s="527"/>
      <c r="E51" s="203">
        <v>1.58</v>
      </c>
      <c r="F51" s="204">
        <v>2.4700000000000002</v>
      </c>
      <c r="G51" s="204">
        <v>4.75</v>
      </c>
      <c r="H51" s="204">
        <v>3.16</v>
      </c>
      <c r="I51" s="204">
        <v>0.97</v>
      </c>
      <c r="J51" s="204">
        <v>0.56000000000000005</v>
      </c>
      <c r="K51" s="204">
        <v>0.36399999999999999</v>
      </c>
      <c r="L51" s="204">
        <v>0.62</v>
      </c>
      <c r="M51" s="204">
        <v>1.7</v>
      </c>
      <c r="N51" s="51">
        <f>MIN(E50:M56)</f>
        <v>0.03</v>
      </c>
    </row>
    <row r="52" spans="2:14" x14ac:dyDescent="0.25">
      <c r="B52" s="175" t="s">
        <v>29</v>
      </c>
      <c r="C52" s="527"/>
      <c r="D52" s="527"/>
      <c r="E52" s="203">
        <v>1.08</v>
      </c>
      <c r="F52" s="204">
        <v>1.24</v>
      </c>
      <c r="G52" s="204">
        <v>4.07</v>
      </c>
      <c r="H52" s="204">
        <v>3.62</v>
      </c>
      <c r="I52" s="204">
        <v>0.16</v>
      </c>
      <c r="J52" s="204">
        <v>0.76</v>
      </c>
      <c r="K52" s="204">
        <v>0.33</v>
      </c>
      <c r="L52" s="204">
        <v>0.39300000000000002</v>
      </c>
      <c r="M52" s="204">
        <v>1.92</v>
      </c>
    </row>
    <row r="53" spans="2:14" x14ac:dyDescent="0.25">
      <c r="B53" s="175" t="s">
        <v>30</v>
      </c>
      <c r="C53" s="527"/>
      <c r="D53" s="527"/>
      <c r="E53" s="203">
        <v>1.1100000000000001</v>
      </c>
      <c r="F53" s="204">
        <v>1.3</v>
      </c>
      <c r="G53" s="205">
        <v>9.24</v>
      </c>
      <c r="H53" s="204">
        <v>4.21</v>
      </c>
      <c r="I53" s="204">
        <v>0.28999999999999998</v>
      </c>
      <c r="J53" s="204">
        <v>0.28999999999999998</v>
      </c>
      <c r="K53" s="204">
        <v>0.28999999999999998</v>
      </c>
      <c r="L53" s="204">
        <v>0.6</v>
      </c>
      <c r="M53" s="204">
        <v>1.69</v>
      </c>
    </row>
    <row r="54" spans="2:14" x14ac:dyDescent="0.25">
      <c r="B54" s="175" t="s">
        <v>31</v>
      </c>
      <c r="C54" s="527"/>
      <c r="D54" s="527"/>
      <c r="E54" s="203">
        <v>0.67</v>
      </c>
      <c r="F54" s="206">
        <v>1.1100000000000001</v>
      </c>
      <c r="G54" s="204">
        <v>3.01</v>
      </c>
      <c r="H54" s="203">
        <v>3.51</v>
      </c>
      <c r="I54" s="204">
        <v>0.31</v>
      </c>
      <c r="J54" s="204">
        <v>0.96</v>
      </c>
      <c r="K54" s="204">
        <v>0.29699999999999999</v>
      </c>
      <c r="L54" s="204">
        <v>0.21</v>
      </c>
      <c r="M54" s="204">
        <v>1.1100000000000001</v>
      </c>
    </row>
    <row r="55" spans="2:14" x14ac:dyDescent="0.25">
      <c r="B55" s="175" t="s">
        <v>25</v>
      </c>
      <c r="C55" s="527"/>
      <c r="D55" s="527"/>
      <c r="E55" s="203">
        <v>0.33</v>
      </c>
      <c r="F55" s="204">
        <v>0.2</v>
      </c>
      <c r="G55" s="204">
        <v>0.41</v>
      </c>
      <c r="H55" s="204">
        <v>0.21</v>
      </c>
      <c r="I55" s="207">
        <v>0.03</v>
      </c>
      <c r="J55" s="204">
        <v>0.08</v>
      </c>
      <c r="K55" s="204">
        <v>0.21</v>
      </c>
      <c r="L55" s="204">
        <v>0.38100000000000001</v>
      </c>
      <c r="M55" s="204">
        <v>0.11</v>
      </c>
    </row>
    <row r="56" spans="2:14" x14ac:dyDescent="0.25">
      <c r="B56" s="175" t="s">
        <v>32</v>
      </c>
      <c r="C56" s="527"/>
      <c r="D56" s="527"/>
      <c r="E56" s="203">
        <v>0.39</v>
      </c>
      <c r="F56" s="204">
        <v>0.47</v>
      </c>
      <c r="G56" s="204">
        <v>0.78</v>
      </c>
      <c r="H56" s="204">
        <v>0.39</v>
      </c>
      <c r="I56" s="204">
        <v>0.81</v>
      </c>
      <c r="J56" s="204">
        <v>0.04</v>
      </c>
      <c r="K56" s="204">
        <v>0.24</v>
      </c>
      <c r="L56" s="204">
        <v>0.44</v>
      </c>
      <c r="M56" s="204">
        <v>0.1</v>
      </c>
    </row>
    <row r="58" spans="2:14" x14ac:dyDescent="0.25">
      <c r="B58" s="528" t="s">
        <v>353</v>
      </c>
      <c r="C58" s="528"/>
      <c r="D58" s="528"/>
      <c r="E58" s="528"/>
      <c r="F58" s="528"/>
      <c r="G58" s="528"/>
      <c r="H58" s="528"/>
      <c r="I58" s="528"/>
      <c r="J58" s="528"/>
      <c r="K58" s="528"/>
      <c r="L58" s="528"/>
      <c r="M58" s="528"/>
    </row>
    <row r="59" spans="2:14" x14ac:dyDescent="0.25">
      <c r="B59" s="529" t="s">
        <v>346</v>
      </c>
      <c r="C59" s="531" t="s">
        <v>33</v>
      </c>
      <c r="D59" s="531"/>
      <c r="E59" s="531" t="s">
        <v>337</v>
      </c>
      <c r="F59" s="531" t="s">
        <v>84</v>
      </c>
      <c r="G59" s="531" t="s">
        <v>338</v>
      </c>
      <c r="H59" s="531" t="s">
        <v>339</v>
      </c>
      <c r="I59" s="531" t="s">
        <v>340</v>
      </c>
      <c r="J59" s="531" t="s">
        <v>341</v>
      </c>
      <c r="K59" s="531" t="s">
        <v>342</v>
      </c>
      <c r="L59" s="531" t="s">
        <v>343</v>
      </c>
      <c r="M59" s="531" t="s">
        <v>344</v>
      </c>
    </row>
    <row r="60" spans="2:14" x14ac:dyDescent="0.25">
      <c r="B60" s="530"/>
      <c r="C60" s="174" t="s">
        <v>298</v>
      </c>
      <c r="D60" s="174" t="s">
        <v>297</v>
      </c>
      <c r="E60" s="531"/>
      <c r="F60" s="531"/>
      <c r="G60" s="531"/>
      <c r="H60" s="531"/>
      <c r="I60" s="531"/>
      <c r="J60" s="531"/>
      <c r="K60" s="531"/>
      <c r="L60" s="531"/>
      <c r="M60" s="531"/>
    </row>
    <row r="61" spans="2:14" x14ac:dyDescent="0.25">
      <c r="B61" s="175" t="s">
        <v>27</v>
      </c>
      <c r="C61" s="527">
        <v>0.1</v>
      </c>
      <c r="D61" s="527">
        <v>1</v>
      </c>
      <c r="E61" s="201">
        <v>1.2999999999999999E-2</v>
      </c>
      <c r="F61" s="202">
        <v>1.2999999999999999E-2</v>
      </c>
      <c r="G61" s="202">
        <v>0.38</v>
      </c>
      <c r="H61" s="202">
        <v>2.4E-2</v>
      </c>
      <c r="I61" s="208" t="s">
        <v>37</v>
      </c>
      <c r="J61" s="208" t="s">
        <v>37</v>
      </c>
      <c r="K61" s="208" t="s">
        <v>37</v>
      </c>
      <c r="L61" s="208" t="s">
        <v>37</v>
      </c>
      <c r="M61" s="202">
        <v>2.3E-2</v>
      </c>
      <c r="N61" s="51">
        <f>MAX(E61:M67)</f>
        <v>0.38</v>
      </c>
    </row>
    <row r="62" spans="2:14" x14ac:dyDescent="0.25">
      <c r="B62" s="175" t="s">
        <v>28</v>
      </c>
      <c r="C62" s="527"/>
      <c r="D62" s="527"/>
      <c r="E62" s="203">
        <v>3.7999999999999999E-2</v>
      </c>
      <c r="F62" s="204">
        <v>1.2E-2</v>
      </c>
      <c r="G62" s="204">
        <v>0.155</v>
      </c>
      <c r="H62" s="204">
        <v>2E-3</v>
      </c>
      <c r="I62" s="208" t="s">
        <v>37</v>
      </c>
      <c r="J62" s="208" t="s">
        <v>37</v>
      </c>
      <c r="K62" s="208" t="s">
        <v>37</v>
      </c>
      <c r="L62" s="208" t="s">
        <v>37</v>
      </c>
      <c r="M62" s="204">
        <v>2.5000000000000001E-2</v>
      </c>
      <c r="N62" s="51">
        <f>MIN(E61:M67)</f>
        <v>1E-3</v>
      </c>
    </row>
    <row r="63" spans="2:14" x14ac:dyDescent="0.25">
      <c r="B63" s="175" t="s">
        <v>29</v>
      </c>
      <c r="C63" s="527"/>
      <c r="D63" s="527"/>
      <c r="E63" s="203">
        <v>2.9000000000000001E-2</v>
      </c>
      <c r="F63" s="204">
        <v>1.7999999999999999E-2</v>
      </c>
      <c r="G63" s="204">
        <v>0.29599999999999999</v>
      </c>
      <c r="H63" s="204">
        <v>8.0000000000000002E-3</v>
      </c>
      <c r="I63" s="208" t="s">
        <v>37</v>
      </c>
      <c r="J63" s="208" t="s">
        <v>37</v>
      </c>
      <c r="K63" s="208" t="s">
        <v>37</v>
      </c>
      <c r="L63" s="208" t="s">
        <v>37</v>
      </c>
      <c r="M63" s="204">
        <v>2.5999999999999999E-2</v>
      </c>
    </row>
    <row r="64" spans="2:14" x14ac:dyDescent="0.25">
      <c r="B64" s="175" t="s">
        <v>30</v>
      </c>
      <c r="C64" s="527"/>
      <c r="D64" s="527"/>
      <c r="E64" s="203">
        <v>0.03</v>
      </c>
      <c r="F64" s="204">
        <v>1.4E-2</v>
      </c>
      <c r="G64" s="209">
        <v>0.111</v>
      </c>
      <c r="H64" s="211">
        <v>1E-3</v>
      </c>
      <c r="I64" s="208" t="s">
        <v>37</v>
      </c>
      <c r="J64" s="208" t="s">
        <v>37</v>
      </c>
      <c r="K64" s="208" t="s">
        <v>37</v>
      </c>
      <c r="L64" s="208" t="s">
        <v>37</v>
      </c>
      <c r="M64" s="204">
        <v>2.1000000000000001E-2</v>
      </c>
    </row>
    <row r="65" spans="2:14" x14ac:dyDescent="0.25">
      <c r="B65" s="175" t="s">
        <v>31</v>
      </c>
      <c r="C65" s="527"/>
      <c r="D65" s="527"/>
      <c r="E65" s="203">
        <v>4.2000000000000003E-2</v>
      </c>
      <c r="F65" s="206">
        <v>5.0999999999999997E-2</v>
      </c>
      <c r="G65" s="204">
        <v>7.8E-2</v>
      </c>
      <c r="H65" s="203">
        <v>1.7000000000000001E-2</v>
      </c>
      <c r="I65" s="208" t="s">
        <v>37</v>
      </c>
      <c r="J65" s="208" t="s">
        <v>37</v>
      </c>
      <c r="K65" s="208" t="s">
        <v>37</v>
      </c>
      <c r="L65" s="208" t="s">
        <v>37</v>
      </c>
      <c r="M65" s="204">
        <v>3.9E-2</v>
      </c>
    </row>
    <row r="66" spans="2:14" x14ac:dyDescent="0.25">
      <c r="B66" s="175" t="s">
        <v>25</v>
      </c>
      <c r="C66" s="527"/>
      <c r="D66" s="527"/>
      <c r="E66" s="203">
        <v>1.4999999999999999E-2</v>
      </c>
      <c r="F66" s="204">
        <v>0.153</v>
      </c>
      <c r="G66" s="204">
        <v>0.14599999999999999</v>
      </c>
      <c r="H66" s="204">
        <v>8.9999999999999993E-3</v>
      </c>
      <c r="I66" s="208" t="s">
        <v>37</v>
      </c>
      <c r="J66" s="208" t="s">
        <v>37</v>
      </c>
      <c r="K66" s="208" t="s">
        <v>37</v>
      </c>
      <c r="L66" s="208" t="s">
        <v>37</v>
      </c>
      <c r="M66" s="204">
        <v>2.5999999999999999E-2</v>
      </c>
    </row>
    <row r="67" spans="2:14" x14ac:dyDescent="0.25">
      <c r="B67" s="175" t="s">
        <v>32</v>
      </c>
      <c r="C67" s="527"/>
      <c r="D67" s="527"/>
      <c r="E67" s="203">
        <v>2.3E-2</v>
      </c>
      <c r="F67" s="204">
        <v>1.6E-2</v>
      </c>
      <c r="G67" s="204">
        <v>0.11</v>
      </c>
      <c r="H67" s="204">
        <v>6.6000000000000003E-2</v>
      </c>
      <c r="I67" s="208" t="s">
        <v>37</v>
      </c>
      <c r="J67" s="208" t="s">
        <v>37</v>
      </c>
      <c r="K67" s="208" t="s">
        <v>37</v>
      </c>
      <c r="L67" s="208" t="s">
        <v>37</v>
      </c>
      <c r="M67" s="204">
        <v>2.1000000000000001E-2</v>
      </c>
    </row>
    <row r="69" spans="2:14" x14ac:dyDescent="0.25">
      <c r="B69" s="528" t="s">
        <v>49</v>
      </c>
      <c r="C69" s="528"/>
      <c r="D69" s="528"/>
      <c r="E69" s="528"/>
      <c r="F69" s="528"/>
      <c r="G69" s="528"/>
      <c r="H69" s="528"/>
      <c r="I69" s="528"/>
      <c r="J69" s="528"/>
      <c r="K69" s="528"/>
      <c r="L69" s="528"/>
      <c r="M69" s="528"/>
    </row>
    <row r="70" spans="2:14" x14ac:dyDescent="0.25">
      <c r="B70" s="529" t="s">
        <v>346</v>
      </c>
      <c r="C70" s="531" t="s">
        <v>33</v>
      </c>
      <c r="D70" s="531"/>
      <c r="E70" s="531" t="s">
        <v>337</v>
      </c>
      <c r="F70" s="531" t="s">
        <v>84</v>
      </c>
      <c r="G70" s="531" t="s">
        <v>338</v>
      </c>
      <c r="H70" s="531" t="s">
        <v>339</v>
      </c>
      <c r="I70" s="531" t="s">
        <v>340</v>
      </c>
      <c r="J70" s="531" t="s">
        <v>341</v>
      </c>
      <c r="K70" s="531" t="s">
        <v>342</v>
      </c>
      <c r="L70" s="531" t="s">
        <v>343</v>
      </c>
      <c r="M70" s="531" t="s">
        <v>344</v>
      </c>
    </row>
    <row r="71" spans="2:14" x14ac:dyDescent="0.25">
      <c r="B71" s="530"/>
      <c r="C71" s="174" t="s">
        <v>298</v>
      </c>
      <c r="D71" s="174" t="s">
        <v>297</v>
      </c>
      <c r="E71" s="531"/>
      <c r="F71" s="531"/>
      <c r="G71" s="531"/>
      <c r="H71" s="531"/>
      <c r="I71" s="531"/>
      <c r="J71" s="531"/>
      <c r="K71" s="531"/>
      <c r="L71" s="531"/>
      <c r="M71" s="531"/>
    </row>
    <row r="72" spans="2:14" x14ac:dyDescent="0.25">
      <c r="B72" s="175" t="s">
        <v>27</v>
      </c>
      <c r="C72" s="527">
        <v>0.2</v>
      </c>
      <c r="D72" s="527">
        <v>0.2</v>
      </c>
      <c r="E72" s="192">
        <v>3.2</v>
      </c>
      <c r="F72" s="218">
        <v>0.1</v>
      </c>
      <c r="G72" s="193">
        <v>2.9</v>
      </c>
      <c r="H72" s="193">
        <v>0.6</v>
      </c>
      <c r="I72" s="217" t="s">
        <v>37</v>
      </c>
      <c r="J72" s="217" t="s">
        <v>37</v>
      </c>
      <c r="K72" s="217" t="s">
        <v>37</v>
      </c>
      <c r="L72" s="217" t="s">
        <v>37</v>
      </c>
      <c r="M72" s="193">
        <v>2.9</v>
      </c>
      <c r="N72" s="51">
        <f>MAX(E72:M78)</f>
        <v>3.3</v>
      </c>
    </row>
    <row r="73" spans="2:14" x14ac:dyDescent="0.25">
      <c r="B73" s="175" t="s">
        <v>28</v>
      </c>
      <c r="C73" s="527"/>
      <c r="D73" s="527"/>
      <c r="E73" s="200">
        <v>3.3</v>
      </c>
      <c r="F73" s="195">
        <v>0.2</v>
      </c>
      <c r="G73" s="195">
        <v>2</v>
      </c>
      <c r="H73" s="195">
        <v>0.5</v>
      </c>
      <c r="I73" s="217" t="s">
        <v>37</v>
      </c>
      <c r="J73" s="217" t="s">
        <v>37</v>
      </c>
      <c r="K73" s="217" t="s">
        <v>37</v>
      </c>
      <c r="L73" s="217" t="s">
        <v>37</v>
      </c>
      <c r="M73" s="195">
        <v>1.1000000000000001</v>
      </c>
      <c r="N73" s="51">
        <f>MIN(E72:M78)</f>
        <v>0.1</v>
      </c>
    </row>
    <row r="74" spans="2:14" x14ac:dyDescent="0.25">
      <c r="B74" s="175" t="s">
        <v>29</v>
      </c>
      <c r="C74" s="527"/>
      <c r="D74" s="527"/>
      <c r="E74" s="194">
        <v>2.5</v>
      </c>
      <c r="F74" s="195">
        <v>0.3</v>
      </c>
      <c r="G74" s="195">
        <v>2.2999999999999998</v>
      </c>
      <c r="H74" s="195">
        <v>0.5</v>
      </c>
      <c r="I74" s="217" t="s">
        <v>37</v>
      </c>
      <c r="J74" s="217" t="s">
        <v>37</v>
      </c>
      <c r="K74" s="217" t="s">
        <v>37</v>
      </c>
      <c r="L74" s="217" t="s">
        <v>37</v>
      </c>
      <c r="M74" s="195">
        <v>0.2</v>
      </c>
    </row>
    <row r="75" spans="2:14" x14ac:dyDescent="0.25">
      <c r="B75" s="175" t="s">
        <v>30</v>
      </c>
      <c r="C75" s="527"/>
      <c r="D75" s="527"/>
      <c r="E75" s="194">
        <v>1.5</v>
      </c>
      <c r="F75" s="195">
        <v>0.4</v>
      </c>
      <c r="G75" s="196">
        <v>2.5</v>
      </c>
      <c r="H75" s="199">
        <v>0.1</v>
      </c>
      <c r="I75" s="217" t="s">
        <v>37</v>
      </c>
      <c r="J75" s="217" t="s">
        <v>37</v>
      </c>
      <c r="K75" s="217" t="s">
        <v>37</v>
      </c>
      <c r="L75" s="217" t="s">
        <v>37</v>
      </c>
      <c r="M75" s="195">
        <v>0.4</v>
      </c>
    </row>
    <row r="76" spans="2:14" x14ac:dyDescent="0.25">
      <c r="B76" s="175" t="s">
        <v>31</v>
      </c>
      <c r="C76" s="527"/>
      <c r="D76" s="527"/>
      <c r="E76" s="194">
        <v>2</v>
      </c>
      <c r="F76" s="197">
        <v>0.2</v>
      </c>
      <c r="G76" s="195">
        <v>2.8</v>
      </c>
      <c r="H76" s="219">
        <v>0.1</v>
      </c>
      <c r="I76" s="217" t="s">
        <v>37</v>
      </c>
      <c r="J76" s="217" t="s">
        <v>37</v>
      </c>
      <c r="K76" s="217" t="s">
        <v>37</v>
      </c>
      <c r="L76" s="217" t="s">
        <v>37</v>
      </c>
      <c r="M76" s="195">
        <v>1.2</v>
      </c>
    </row>
    <row r="77" spans="2:14" x14ac:dyDescent="0.25">
      <c r="B77" s="175" t="s">
        <v>25</v>
      </c>
      <c r="C77" s="527"/>
      <c r="D77" s="527"/>
      <c r="E77" s="194">
        <v>2.2000000000000002</v>
      </c>
      <c r="F77" s="195">
        <v>0.8</v>
      </c>
      <c r="G77" s="195">
        <v>2.2000000000000002</v>
      </c>
      <c r="H77" s="195">
        <v>0.3</v>
      </c>
      <c r="I77" s="217" t="s">
        <v>37</v>
      </c>
      <c r="J77" s="217" t="s">
        <v>37</v>
      </c>
      <c r="K77" s="217" t="s">
        <v>37</v>
      </c>
      <c r="L77" s="217" t="s">
        <v>37</v>
      </c>
      <c r="M77" s="195">
        <v>0.4</v>
      </c>
    </row>
    <row r="78" spans="2:14" x14ac:dyDescent="0.25">
      <c r="B78" s="175" t="s">
        <v>32</v>
      </c>
      <c r="C78" s="527"/>
      <c r="D78" s="527"/>
      <c r="E78" s="194">
        <v>2</v>
      </c>
      <c r="F78" s="195">
        <v>0.8</v>
      </c>
      <c r="G78" s="195">
        <v>2.7</v>
      </c>
      <c r="H78" s="195">
        <v>1.2</v>
      </c>
      <c r="I78" s="217" t="s">
        <v>37</v>
      </c>
      <c r="J78" s="217" t="s">
        <v>37</v>
      </c>
      <c r="K78" s="217" t="s">
        <v>37</v>
      </c>
      <c r="L78" s="217" t="s">
        <v>37</v>
      </c>
      <c r="M78" s="195">
        <v>0.8</v>
      </c>
    </row>
    <row r="80" spans="2:14" x14ac:dyDescent="0.25">
      <c r="B80" s="528" t="s">
        <v>50</v>
      </c>
      <c r="C80" s="528"/>
      <c r="D80" s="528"/>
      <c r="E80" s="528"/>
      <c r="F80" s="528"/>
      <c r="G80" s="528"/>
      <c r="H80" s="528"/>
      <c r="I80" s="528"/>
      <c r="J80" s="528"/>
      <c r="K80" s="528"/>
      <c r="L80" s="528"/>
      <c r="M80" s="528"/>
    </row>
    <row r="81" spans="2:14" x14ac:dyDescent="0.25">
      <c r="B81" s="529" t="s">
        <v>346</v>
      </c>
      <c r="C81" s="531" t="s">
        <v>33</v>
      </c>
      <c r="D81" s="531"/>
      <c r="E81" s="531" t="s">
        <v>337</v>
      </c>
      <c r="F81" s="531" t="s">
        <v>84</v>
      </c>
      <c r="G81" s="531" t="s">
        <v>338</v>
      </c>
      <c r="H81" s="531" t="s">
        <v>339</v>
      </c>
      <c r="I81" s="531" t="s">
        <v>340</v>
      </c>
      <c r="J81" s="531" t="s">
        <v>341</v>
      </c>
      <c r="K81" s="531" t="s">
        <v>342</v>
      </c>
      <c r="L81" s="531" t="s">
        <v>343</v>
      </c>
      <c r="M81" s="531" t="s">
        <v>344</v>
      </c>
    </row>
    <row r="82" spans="2:14" x14ac:dyDescent="0.25">
      <c r="B82" s="530"/>
      <c r="C82" s="174" t="s">
        <v>298</v>
      </c>
      <c r="D82" s="174" t="s">
        <v>297</v>
      </c>
      <c r="E82" s="531"/>
      <c r="F82" s="531"/>
      <c r="G82" s="531"/>
      <c r="H82" s="531"/>
      <c r="I82" s="531"/>
      <c r="J82" s="531"/>
      <c r="K82" s="531"/>
      <c r="L82" s="531"/>
      <c r="M82" s="531"/>
    </row>
    <row r="83" spans="2:14" x14ac:dyDescent="0.25">
      <c r="B83" s="175" t="s">
        <v>27</v>
      </c>
      <c r="C83" s="527">
        <v>0.5</v>
      </c>
      <c r="D83" s="527" t="s">
        <v>350</v>
      </c>
      <c r="E83" s="212">
        <v>0.52200000000000002</v>
      </c>
      <c r="F83" s="213">
        <v>0.10199999999999999</v>
      </c>
      <c r="G83" s="213">
        <v>3.7999999999999999E-2</v>
      </c>
      <c r="H83" s="213">
        <v>9.5000000000000001E-2</v>
      </c>
      <c r="I83" s="217" t="s">
        <v>37</v>
      </c>
      <c r="J83" s="217" t="s">
        <v>37</v>
      </c>
      <c r="K83" s="217" t="s">
        <v>37</v>
      </c>
      <c r="L83" s="217" t="s">
        <v>37</v>
      </c>
      <c r="M83" s="213">
        <v>0.161</v>
      </c>
      <c r="N83" s="51">
        <f>MAX(E83:M89)</f>
        <v>1.857</v>
      </c>
    </row>
    <row r="84" spans="2:14" x14ac:dyDescent="0.25">
      <c r="B84" s="175" t="s">
        <v>28</v>
      </c>
      <c r="C84" s="527"/>
      <c r="D84" s="527"/>
      <c r="E84" s="214">
        <v>0.72799999999999998</v>
      </c>
      <c r="F84" s="210">
        <v>0.09</v>
      </c>
      <c r="G84" s="210">
        <v>4.5999999999999999E-2</v>
      </c>
      <c r="H84" s="210">
        <v>0.06</v>
      </c>
      <c r="I84" s="217" t="s">
        <v>37</v>
      </c>
      <c r="J84" s="217" t="s">
        <v>37</v>
      </c>
      <c r="K84" s="217" t="s">
        <v>37</v>
      </c>
      <c r="L84" s="217" t="s">
        <v>37</v>
      </c>
      <c r="M84" s="210">
        <v>0.23699999999999999</v>
      </c>
      <c r="N84" s="51">
        <f>MIN(E83:M89)</f>
        <v>3.6999999999999998E-2</v>
      </c>
    </row>
    <row r="85" spans="2:14" x14ac:dyDescent="0.25">
      <c r="B85" s="175" t="s">
        <v>29</v>
      </c>
      <c r="C85" s="527"/>
      <c r="D85" s="527"/>
      <c r="E85" s="214">
        <v>0.44900000000000001</v>
      </c>
      <c r="F85" s="210">
        <v>0.11</v>
      </c>
      <c r="G85" s="210">
        <v>4.3999999999999997E-2</v>
      </c>
      <c r="H85" s="210">
        <v>0.251</v>
      </c>
      <c r="I85" s="217" t="s">
        <v>37</v>
      </c>
      <c r="J85" s="217" t="s">
        <v>37</v>
      </c>
      <c r="K85" s="217" t="s">
        <v>37</v>
      </c>
      <c r="L85" s="217" t="s">
        <v>37</v>
      </c>
      <c r="M85" s="210">
        <v>0.628</v>
      </c>
    </row>
    <row r="86" spans="2:14" x14ac:dyDescent="0.25">
      <c r="B86" s="175" t="s">
        <v>30</v>
      </c>
      <c r="C86" s="527"/>
      <c r="D86" s="527"/>
      <c r="E86" s="214">
        <v>0.45300000000000001</v>
      </c>
      <c r="F86" s="210">
        <v>0.108</v>
      </c>
      <c r="G86" s="215">
        <v>4.2999999999999997E-2</v>
      </c>
      <c r="H86" s="210">
        <v>0.04</v>
      </c>
      <c r="I86" s="217" t="s">
        <v>37</v>
      </c>
      <c r="J86" s="217" t="s">
        <v>37</v>
      </c>
      <c r="K86" s="217" t="s">
        <v>37</v>
      </c>
      <c r="L86" s="217" t="s">
        <v>37</v>
      </c>
      <c r="M86" s="210">
        <v>0.13800000000000001</v>
      </c>
    </row>
    <row r="87" spans="2:14" x14ac:dyDescent="0.25">
      <c r="B87" s="175" t="s">
        <v>31</v>
      </c>
      <c r="C87" s="527"/>
      <c r="D87" s="527"/>
      <c r="E87" s="214">
        <v>1.0189999999999999</v>
      </c>
      <c r="F87" s="216">
        <v>0.17399999999999999</v>
      </c>
      <c r="G87" s="210">
        <v>5.0999999999999997E-2</v>
      </c>
      <c r="H87" s="222">
        <v>3.6999999999999998E-2</v>
      </c>
      <c r="I87" s="217" t="s">
        <v>37</v>
      </c>
      <c r="J87" s="217" t="s">
        <v>37</v>
      </c>
      <c r="K87" s="217" t="s">
        <v>37</v>
      </c>
      <c r="L87" s="217" t="s">
        <v>37</v>
      </c>
      <c r="M87" s="210">
        <v>0.10100000000000001</v>
      </c>
    </row>
    <row r="88" spans="2:14" x14ac:dyDescent="0.25">
      <c r="B88" s="175" t="s">
        <v>25</v>
      </c>
      <c r="C88" s="527"/>
      <c r="D88" s="527"/>
      <c r="E88" s="214">
        <v>1.4</v>
      </c>
      <c r="F88" s="210">
        <v>1.5760000000000001</v>
      </c>
      <c r="G88" s="210">
        <v>0.40600000000000003</v>
      </c>
      <c r="H88" s="210">
        <v>0.38700000000000001</v>
      </c>
      <c r="I88" s="217" t="s">
        <v>37</v>
      </c>
      <c r="J88" s="217" t="s">
        <v>37</v>
      </c>
      <c r="K88" s="217" t="s">
        <v>37</v>
      </c>
      <c r="L88" s="217" t="s">
        <v>37</v>
      </c>
      <c r="M88" s="210">
        <v>0.26</v>
      </c>
    </row>
    <row r="89" spans="2:14" x14ac:dyDescent="0.25">
      <c r="B89" s="175" t="s">
        <v>32</v>
      </c>
      <c r="C89" s="527"/>
      <c r="D89" s="527"/>
      <c r="E89" s="214">
        <v>1.4</v>
      </c>
      <c r="F89" s="221">
        <v>1.857</v>
      </c>
      <c r="G89" s="210">
        <v>0.59</v>
      </c>
      <c r="H89" s="210">
        <v>0.34300000000000003</v>
      </c>
      <c r="I89" s="217" t="s">
        <v>37</v>
      </c>
      <c r="J89" s="217" t="s">
        <v>37</v>
      </c>
      <c r="K89" s="217" t="s">
        <v>37</v>
      </c>
      <c r="L89" s="217" t="s">
        <v>37</v>
      </c>
      <c r="M89" s="210">
        <v>0.48</v>
      </c>
    </row>
    <row r="91" spans="2:14" x14ac:dyDescent="0.25">
      <c r="B91" s="528" t="s">
        <v>334</v>
      </c>
      <c r="C91" s="528"/>
      <c r="D91" s="528"/>
      <c r="E91" s="528"/>
      <c r="F91" s="528"/>
      <c r="G91" s="528"/>
      <c r="H91" s="528"/>
      <c r="I91" s="528"/>
      <c r="J91" s="528"/>
      <c r="K91" s="528"/>
      <c r="L91" s="528"/>
      <c r="M91" s="528"/>
    </row>
    <row r="92" spans="2:14" x14ac:dyDescent="0.25">
      <c r="B92" s="529" t="s">
        <v>346</v>
      </c>
      <c r="C92" s="531" t="s">
        <v>33</v>
      </c>
      <c r="D92" s="531"/>
      <c r="E92" s="531" t="s">
        <v>337</v>
      </c>
      <c r="F92" s="531" t="s">
        <v>84</v>
      </c>
      <c r="G92" s="531" t="s">
        <v>338</v>
      </c>
      <c r="H92" s="531" t="s">
        <v>339</v>
      </c>
      <c r="I92" s="531" t="s">
        <v>340</v>
      </c>
      <c r="J92" s="531" t="s">
        <v>341</v>
      </c>
      <c r="K92" s="531" t="s">
        <v>342</v>
      </c>
      <c r="L92" s="531" t="s">
        <v>343</v>
      </c>
      <c r="M92" s="531" t="s">
        <v>344</v>
      </c>
    </row>
    <row r="93" spans="2:14" x14ac:dyDescent="0.25">
      <c r="B93" s="530"/>
      <c r="C93" s="174" t="s">
        <v>298</v>
      </c>
      <c r="D93" s="174" t="s">
        <v>297</v>
      </c>
      <c r="E93" s="531"/>
      <c r="F93" s="531"/>
      <c r="G93" s="531"/>
      <c r="H93" s="531"/>
      <c r="I93" s="531"/>
      <c r="J93" s="531"/>
      <c r="K93" s="531"/>
      <c r="L93" s="531"/>
      <c r="M93" s="531"/>
    </row>
    <row r="94" spans="2:14" x14ac:dyDescent="0.25">
      <c r="B94" s="175" t="s">
        <v>27</v>
      </c>
      <c r="C94" s="527">
        <v>2</v>
      </c>
      <c r="D94" s="527">
        <v>24</v>
      </c>
      <c r="E94" s="212">
        <v>0.13</v>
      </c>
      <c r="F94" s="217" t="s">
        <v>37</v>
      </c>
      <c r="G94" s="217" t="s">
        <v>37</v>
      </c>
      <c r="H94" s="217" t="s">
        <v>37</v>
      </c>
      <c r="I94" s="217" t="s">
        <v>37</v>
      </c>
      <c r="J94" s="217" t="s">
        <v>37</v>
      </c>
      <c r="K94" s="217" t="s">
        <v>37</v>
      </c>
      <c r="L94" s="217" t="s">
        <v>37</v>
      </c>
      <c r="M94" s="213">
        <v>0.12</v>
      </c>
      <c r="N94" s="51">
        <f>MAX(E94:M100)</f>
        <v>0.37</v>
      </c>
    </row>
    <row r="95" spans="2:14" x14ac:dyDescent="0.25">
      <c r="B95" s="175" t="s">
        <v>28</v>
      </c>
      <c r="C95" s="527"/>
      <c r="D95" s="527"/>
      <c r="E95" s="223">
        <v>0.37</v>
      </c>
      <c r="F95" s="217" t="s">
        <v>37</v>
      </c>
      <c r="G95" s="217" t="s">
        <v>37</v>
      </c>
      <c r="H95" s="217" t="s">
        <v>37</v>
      </c>
      <c r="I95" s="217" t="s">
        <v>37</v>
      </c>
      <c r="J95" s="217" t="s">
        <v>37</v>
      </c>
      <c r="K95" s="217" t="s">
        <v>37</v>
      </c>
      <c r="L95" s="217" t="s">
        <v>37</v>
      </c>
      <c r="M95" s="210">
        <v>0.11</v>
      </c>
      <c r="N95" s="51">
        <f>MIN(E94:M100)</f>
        <v>0.09</v>
      </c>
    </row>
    <row r="96" spans="2:14" x14ac:dyDescent="0.25">
      <c r="B96" s="175" t="s">
        <v>29</v>
      </c>
      <c r="C96" s="527"/>
      <c r="D96" s="527"/>
      <c r="E96" s="214">
        <v>0.12</v>
      </c>
      <c r="F96" s="217" t="s">
        <v>37</v>
      </c>
      <c r="G96" s="217" t="s">
        <v>37</v>
      </c>
      <c r="H96" s="217" t="s">
        <v>37</v>
      </c>
      <c r="I96" s="217" t="s">
        <v>37</v>
      </c>
      <c r="J96" s="217" t="s">
        <v>37</v>
      </c>
      <c r="K96" s="217" t="s">
        <v>37</v>
      </c>
      <c r="L96" s="217" t="s">
        <v>37</v>
      </c>
      <c r="M96" s="211">
        <v>0.09</v>
      </c>
    </row>
    <row r="97" spans="2:14" x14ac:dyDescent="0.25">
      <c r="B97" s="175" t="s">
        <v>30</v>
      </c>
      <c r="C97" s="527"/>
      <c r="D97" s="527"/>
      <c r="E97" s="214">
        <v>0.1</v>
      </c>
      <c r="F97" s="217" t="s">
        <v>37</v>
      </c>
      <c r="G97" s="217" t="s">
        <v>37</v>
      </c>
      <c r="H97" s="217" t="s">
        <v>37</v>
      </c>
      <c r="I97" s="217" t="s">
        <v>37</v>
      </c>
      <c r="J97" s="217" t="s">
        <v>37</v>
      </c>
      <c r="K97" s="217" t="s">
        <v>37</v>
      </c>
      <c r="L97" s="217" t="s">
        <v>37</v>
      </c>
      <c r="M97" s="210">
        <v>0.1</v>
      </c>
    </row>
    <row r="98" spans="2:14" x14ac:dyDescent="0.25">
      <c r="B98" s="175" t="s">
        <v>31</v>
      </c>
      <c r="C98" s="527"/>
      <c r="D98" s="527"/>
      <c r="E98" s="214">
        <v>0.13</v>
      </c>
      <c r="F98" s="217" t="s">
        <v>37</v>
      </c>
      <c r="G98" s="217" t="s">
        <v>37</v>
      </c>
      <c r="H98" s="217" t="s">
        <v>37</v>
      </c>
      <c r="I98" s="217" t="s">
        <v>37</v>
      </c>
      <c r="J98" s="217" t="s">
        <v>37</v>
      </c>
      <c r="K98" s="217" t="s">
        <v>37</v>
      </c>
      <c r="L98" s="217" t="s">
        <v>37</v>
      </c>
      <c r="M98" s="210">
        <v>0.16</v>
      </c>
    </row>
    <row r="99" spans="2:14" x14ac:dyDescent="0.25">
      <c r="B99" s="175" t="s">
        <v>25</v>
      </c>
      <c r="C99" s="527"/>
      <c r="D99" s="527"/>
      <c r="E99" s="214">
        <v>0.26</v>
      </c>
      <c r="F99" s="217" t="s">
        <v>37</v>
      </c>
      <c r="G99" s="217" t="s">
        <v>37</v>
      </c>
      <c r="H99" s="217" t="s">
        <v>37</v>
      </c>
      <c r="I99" s="217" t="s">
        <v>37</v>
      </c>
      <c r="J99" s="217" t="s">
        <v>37</v>
      </c>
      <c r="K99" s="217" t="s">
        <v>37</v>
      </c>
      <c r="L99" s="217" t="s">
        <v>37</v>
      </c>
      <c r="M99" s="210">
        <v>0.12</v>
      </c>
    </row>
    <row r="100" spans="2:14" x14ac:dyDescent="0.25">
      <c r="B100" s="175" t="s">
        <v>32</v>
      </c>
      <c r="C100" s="527"/>
      <c r="D100" s="527"/>
      <c r="E100" s="214">
        <v>0.27</v>
      </c>
      <c r="F100" s="217" t="s">
        <v>37</v>
      </c>
      <c r="G100" s="217" t="s">
        <v>37</v>
      </c>
      <c r="H100" s="217" t="s">
        <v>37</v>
      </c>
      <c r="I100" s="217" t="s">
        <v>37</v>
      </c>
      <c r="J100" s="217" t="s">
        <v>37</v>
      </c>
      <c r="K100" s="217" t="s">
        <v>37</v>
      </c>
      <c r="L100" s="217" t="s">
        <v>37</v>
      </c>
      <c r="M100" s="210">
        <v>0.13</v>
      </c>
    </row>
    <row r="102" spans="2:14" x14ac:dyDescent="0.25">
      <c r="B102" s="528" t="s">
        <v>92</v>
      </c>
      <c r="C102" s="528"/>
      <c r="D102" s="528"/>
      <c r="E102" s="528"/>
      <c r="F102" s="528"/>
      <c r="G102" s="528"/>
      <c r="H102" s="528"/>
      <c r="I102" s="528"/>
      <c r="J102" s="528"/>
      <c r="K102" s="528"/>
      <c r="L102" s="528"/>
      <c r="M102" s="528"/>
    </row>
    <row r="103" spans="2:14" x14ac:dyDescent="0.25">
      <c r="B103" s="529" t="s">
        <v>346</v>
      </c>
      <c r="C103" s="531" t="s">
        <v>33</v>
      </c>
      <c r="D103" s="531"/>
      <c r="E103" s="531" t="s">
        <v>337</v>
      </c>
      <c r="F103" s="531" t="s">
        <v>84</v>
      </c>
      <c r="G103" s="531" t="s">
        <v>338</v>
      </c>
      <c r="H103" s="531" t="s">
        <v>339</v>
      </c>
      <c r="I103" s="531" t="s">
        <v>340</v>
      </c>
      <c r="J103" s="531" t="s">
        <v>341</v>
      </c>
      <c r="K103" s="531" t="s">
        <v>342</v>
      </c>
      <c r="L103" s="531" t="s">
        <v>343</v>
      </c>
      <c r="M103" s="531" t="s">
        <v>344</v>
      </c>
    </row>
    <row r="104" spans="2:14" x14ac:dyDescent="0.25">
      <c r="B104" s="530"/>
      <c r="C104" s="174" t="s">
        <v>298</v>
      </c>
      <c r="D104" s="174" t="s">
        <v>297</v>
      </c>
      <c r="E104" s="531"/>
      <c r="F104" s="531"/>
      <c r="G104" s="531"/>
      <c r="H104" s="531"/>
      <c r="I104" s="531"/>
      <c r="J104" s="531"/>
      <c r="K104" s="531"/>
      <c r="L104" s="531"/>
      <c r="M104" s="531"/>
    </row>
    <row r="105" spans="2:14" x14ac:dyDescent="0.25">
      <c r="B105" s="175" t="s">
        <v>27</v>
      </c>
      <c r="C105" s="527" t="s">
        <v>350</v>
      </c>
      <c r="D105" s="527" t="s">
        <v>350</v>
      </c>
      <c r="E105" s="217" t="s">
        <v>37</v>
      </c>
      <c r="F105" s="193">
        <v>11</v>
      </c>
      <c r="G105" s="193">
        <v>11</v>
      </c>
      <c r="H105" s="193">
        <v>15</v>
      </c>
      <c r="I105" s="217">
        <v>19</v>
      </c>
      <c r="J105" s="217">
        <v>23</v>
      </c>
      <c r="K105" s="217">
        <v>43</v>
      </c>
      <c r="L105" s="217">
        <v>93</v>
      </c>
      <c r="M105" s="224">
        <v>150</v>
      </c>
      <c r="N105" s="51">
        <f>MAX(F105:M111)</f>
        <v>150</v>
      </c>
    </row>
    <row r="106" spans="2:14" x14ac:dyDescent="0.25">
      <c r="B106" s="175" t="s">
        <v>28</v>
      </c>
      <c r="C106" s="527"/>
      <c r="D106" s="527"/>
      <c r="E106" s="217" t="s">
        <v>37</v>
      </c>
      <c r="F106" s="195">
        <v>7.2</v>
      </c>
      <c r="G106" s="195">
        <v>11</v>
      </c>
      <c r="H106" s="195">
        <v>11</v>
      </c>
      <c r="I106" s="217">
        <v>16</v>
      </c>
      <c r="J106" s="217">
        <v>15</v>
      </c>
      <c r="K106" s="217">
        <v>23</v>
      </c>
      <c r="L106" s="217">
        <v>43</v>
      </c>
      <c r="M106" s="195">
        <v>75</v>
      </c>
      <c r="N106" s="51">
        <f>MIN(F105:M111)</f>
        <v>3.6</v>
      </c>
    </row>
    <row r="107" spans="2:14" x14ac:dyDescent="0.25">
      <c r="B107" s="175" t="s">
        <v>29</v>
      </c>
      <c r="C107" s="527"/>
      <c r="D107" s="527"/>
      <c r="E107" s="217" t="s">
        <v>37</v>
      </c>
      <c r="F107" s="195">
        <v>15</v>
      </c>
      <c r="G107" s="195">
        <v>11</v>
      </c>
      <c r="H107" s="195">
        <v>7.3</v>
      </c>
      <c r="I107" s="217">
        <v>9.1999999999999993</v>
      </c>
      <c r="J107" s="217">
        <v>11</v>
      </c>
      <c r="K107" s="217">
        <v>21</v>
      </c>
      <c r="L107" s="217">
        <v>35</v>
      </c>
      <c r="M107" s="195">
        <v>75</v>
      </c>
    </row>
    <row r="108" spans="2:14" x14ac:dyDescent="0.25">
      <c r="B108" s="175" t="s">
        <v>30</v>
      </c>
      <c r="C108" s="527"/>
      <c r="D108" s="527"/>
      <c r="E108" s="217" t="s">
        <v>37</v>
      </c>
      <c r="F108" s="195">
        <v>7.3</v>
      </c>
      <c r="G108" s="196">
        <v>11</v>
      </c>
      <c r="H108" s="195">
        <v>16</v>
      </c>
      <c r="I108" s="217">
        <v>13</v>
      </c>
      <c r="J108" s="217">
        <v>15</v>
      </c>
      <c r="K108" s="217">
        <v>21</v>
      </c>
      <c r="L108" s="217">
        <v>43</v>
      </c>
      <c r="M108" s="195">
        <v>43</v>
      </c>
    </row>
    <row r="109" spans="2:14" x14ac:dyDescent="0.25">
      <c r="B109" s="175" t="s">
        <v>31</v>
      </c>
      <c r="C109" s="527"/>
      <c r="D109" s="527"/>
      <c r="E109" s="217" t="s">
        <v>37</v>
      </c>
      <c r="F109" s="197">
        <v>9.3000000000000007</v>
      </c>
      <c r="G109" s="195">
        <v>11</v>
      </c>
      <c r="H109" s="194">
        <v>15</v>
      </c>
      <c r="I109" s="217">
        <v>12</v>
      </c>
      <c r="J109" s="217">
        <v>11</v>
      </c>
      <c r="K109" s="217">
        <v>24</v>
      </c>
      <c r="L109" s="217">
        <v>35</v>
      </c>
      <c r="M109" s="195">
        <v>43</v>
      </c>
    </row>
    <row r="110" spans="2:14" x14ac:dyDescent="0.25">
      <c r="B110" s="175" t="s">
        <v>25</v>
      </c>
      <c r="C110" s="527"/>
      <c r="D110" s="527"/>
      <c r="E110" s="217" t="s">
        <v>37</v>
      </c>
      <c r="F110" s="199">
        <v>3.6</v>
      </c>
      <c r="G110" s="195">
        <v>7.3</v>
      </c>
      <c r="H110" s="195">
        <v>7.2</v>
      </c>
      <c r="I110" s="217">
        <v>9.1999999999999993</v>
      </c>
      <c r="J110" s="217">
        <v>9</v>
      </c>
      <c r="K110" s="217">
        <v>9</v>
      </c>
      <c r="L110" s="217">
        <v>15</v>
      </c>
      <c r="M110" s="195">
        <v>35</v>
      </c>
    </row>
    <row r="111" spans="2:14" x14ac:dyDescent="0.25">
      <c r="B111" s="175" t="s">
        <v>32</v>
      </c>
      <c r="C111" s="527"/>
      <c r="D111" s="527"/>
      <c r="E111" s="217" t="s">
        <v>37</v>
      </c>
      <c r="F111" s="195">
        <v>9.1999999999999993</v>
      </c>
      <c r="G111" s="195">
        <v>3.6</v>
      </c>
      <c r="H111" s="195">
        <v>7.2</v>
      </c>
      <c r="I111" s="217">
        <v>7.3</v>
      </c>
      <c r="J111" s="217">
        <v>6</v>
      </c>
      <c r="K111" s="217">
        <v>6</v>
      </c>
      <c r="L111" s="217">
        <v>15</v>
      </c>
      <c r="M111" s="195">
        <v>15</v>
      </c>
    </row>
    <row r="113" spans="2:14" x14ac:dyDescent="0.25">
      <c r="B113" s="528" t="s">
        <v>330</v>
      </c>
      <c r="C113" s="528"/>
      <c r="D113" s="528"/>
      <c r="E113" s="528"/>
      <c r="F113" s="528"/>
      <c r="G113" s="528"/>
      <c r="H113" s="528"/>
      <c r="I113" s="528"/>
      <c r="J113" s="528"/>
      <c r="K113" s="528"/>
      <c r="L113" s="528"/>
      <c r="M113" s="528"/>
    </row>
    <row r="114" spans="2:14" x14ac:dyDescent="0.25">
      <c r="B114" s="529" t="s">
        <v>346</v>
      </c>
      <c r="C114" s="531" t="s">
        <v>33</v>
      </c>
      <c r="D114" s="531"/>
      <c r="E114" s="531" t="s">
        <v>337</v>
      </c>
      <c r="F114" s="531" t="s">
        <v>84</v>
      </c>
      <c r="G114" s="531" t="s">
        <v>338</v>
      </c>
      <c r="H114" s="531" t="s">
        <v>339</v>
      </c>
      <c r="I114" s="531" t="s">
        <v>340</v>
      </c>
      <c r="J114" s="531" t="s">
        <v>341</v>
      </c>
      <c r="K114" s="531" t="s">
        <v>342</v>
      </c>
      <c r="L114" s="531" t="s">
        <v>343</v>
      </c>
      <c r="M114" s="531" t="s">
        <v>344</v>
      </c>
    </row>
    <row r="115" spans="2:14" x14ac:dyDescent="0.25">
      <c r="B115" s="530"/>
      <c r="C115" s="174" t="s">
        <v>298</v>
      </c>
      <c r="D115" s="174" t="s">
        <v>297</v>
      </c>
      <c r="E115" s="531"/>
      <c r="F115" s="531"/>
      <c r="G115" s="531"/>
      <c r="H115" s="531"/>
      <c r="I115" s="531"/>
      <c r="J115" s="531"/>
      <c r="K115" s="531"/>
      <c r="L115" s="531"/>
      <c r="M115" s="531"/>
    </row>
    <row r="116" spans="2:14" x14ac:dyDescent="0.25">
      <c r="B116" s="175" t="s">
        <v>27</v>
      </c>
      <c r="C116" s="527">
        <v>1000</v>
      </c>
      <c r="D116" s="527">
        <v>1000</v>
      </c>
      <c r="E116" s="217" t="s">
        <v>37</v>
      </c>
      <c r="F116" s="193">
        <v>3.6</v>
      </c>
      <c r="G116" s="193">
        <v>3</v>
      </c>
      <c r="H116" s="193">
        <v>7.3</v>
      </c>
      <c r="I116" s="217">
        <v>9.3000000000000007</v>
      </c>
      <c r="J116" s="217">
        <v>9.1</v>
      </c>
      <c r="K116" s="217">
        <v>23</v>
      </c>
      <c r="L116" s="217">
        <v>43</v>
      </c>
      <c r="M116" s="225">
        <v>75</v>
      </c>
      <c r="N116" s="51">
        <f>MAX(F116:M122)</f>
        <v>75</v>
      </c>
    </row>
    <row r="117" spans="2:14" x14ac:dyDescent="0.25">
      <c r="B117" s="175" t="s">
        <v>28</v>
      </c>
      <c r="C117" s="527"/>
      <c r="D117" s="527"/>
      <c r="E117" s="217" t="s">
        <v>37</v>
      </c>
      <c r="F117" s="195">
        <v>3.6</v>
      </c>
      <c r="G117" s="195">
        <v>7.2</v>
      </c>
      <c r="H117" s="195">
        <v>7.3</v>
      </c>
      <c r="I117" s="217">
        <v>11</v>
      </c>
      <c r="J117" s="217">
        <v>7.2</v>
      </c>
      <c r="K117" s="217">
        <v>9.1</v>
      </c>
      <c r="L117" s="217">
        <v>23</v>
      </c>
      <c r="M117" s="195">
        <v>43</v>
      </c>
      <c r="N117" s="51">
        <f>MIN(F116:M122)</f>
        <v>3</v>
      </c>
    </row>
    <row r="118" spans="2:14" x14ac:dyDescent="0.25">
      <c r="B118" s="175" t="s">
        <v>29</v>
      </c>
      <c r="C118" s="527"/>
      <c r="D118" s="527"/>
      <c r="E118" s="217" t="s">
        <v>37</v>
      </c>
      <c r="F118" s="195">
        <v>3</v>
      </c>
      <c r="G118" s="195">
        <v>3</v>
      </c>
      <c r="H118" s="195">
        <v>3</v>
      </c>
      <c r="I118" s="217">
        <v>6.1</v>
      </c>
      <c r="J118" s="217">
        <v>7.2</v>
      </c>
      <c r="K118" s="217">
        <v>15</v>
      </c>
      <c r="L118" s="217">
        <v>28</v>
      </c>
      <c r="M118" s="195">
        <v>23</v>
      </c>
    </row>
    <row r="119" spans="2:14" x14ac:dyDescent="0.25">
      <c r="B119" s="175" t="s">
        <v>30</v>
      </c>
      <c r="C119" s="527"/>
      <c r="D119" s="527"/>
      <c r="E119" s="217" t="s">
        <v>37</v>
      </c>
      <c r="F119" s="195">
        <v>3.6</v>
      </c>
      <c r="G119" s="196">
        <v>11</v>
      </c>
      <c r="H119" s="195">
        <v>11</v>
      </c>
      <c r="I119" s="217">
        <v>6.1</v>
      </c>
      <c r="J119" s="217">
        <v>11</v>
      </c>
      <c r="K119" s="217">
        <v>15</v>
      </c>
      <c r="L119" s="217">
        <v>23</v>
      </c>
      <c r="M119" s="195">
        <v>23</v>
      </c>
    </row>
    <row r="120" spans="2:14" x14ac:dyDescent="0.25">
      <c r="B120" s="175" t="s">
        <v>31</v>
      </c>
      <c r="C120" s="527"/>
      <c r="D120" s="527"/>
      <c r="E120" s="217" t="s">
        <v>37</v>
      </c>
      <c r="F120" s="220">
        <v>3</v>
      </c>
      <c r="G120" s="195">
        <v>7.3</v>
      </c>
      <c r="H120" s="194">
        <v>7.3</v>
      </c>
      <c r="I120" s="217">
        <v>9.3000000000000007</v>
      </c>
      <c r="J120" s="217">
        <v>3.6</v>
      </c>
      <c r="K120" s="217">
        <v>15</v>
      </c>
      <c r="L120" s="217">
        <v>21</v>
      </c>
      <c r="M120" s="195">
        <v>15</v>
      </c>
    </row>
    <row r="121" spans="2:14" x14ac:dyDescent="0.25">
      <c r="B121" s="175" t="s">
        <v>25</v>
      </c>
      <c r="C121" s="527"/>
      <c r="D121" s="527"/>
      <c r="E121" s="217" t="s">
        <v>37</v>
      </c>
      <c r="F121" s="199">
        <v>3</v>
      </c>
      <c r="G121" s="195">
        <v>7.3</v>
      </c>
      <c r="H121" s="195">
        <v>3.6</v>
      </c>
      <c r="I121" s="217">
        <v>3</v>
      </c>
      <c r="J121" s="217">
        <v>3</v>
      </c>
      <c r="K121" s="217">
        <v>3</v>
      </c>
      <c r="L121" s="217">
        <v>15</v>
      </c>
      <c r="M121" s="195">
        <v>14</v>
      </c>
    </row>
    <row r="122" spans="2:14" x14ac:dyDescent="0.25">
      <c r="B122" s="175" t="s">
        <v>32</v>
      </c>
      <c r="C122" s="527"/>
      <c r="D122" s="527"/>
      <c r="E122" s="217" t="s">
        <v>37</v>
      </c>
      <c r="F122" s="199">
        <v>3</v>
      </c>
      <c r="G122" s="195">
        <v>3.6</v>
      </c>
      <c r="H122" s="195">
        <v>3.6</v>
      </c>
      <c r="I122" s="217">
        <v>3.6</v>
      </c>
      <c r="J122" s="217">
        <v>3</v>
      </c>
      <c r="K122" s="217">
        <v>3</v>
      </c>
      <c r="L122" s="217">
        <v>15</v>
      </c>
      <c r="M122" s="195">
        <v>9.1</v>
      </c>
    </row>
  </sheetData>
  <mergeCells count="154">
    <mergeCell ref="J103:J104"/>
    <mergeCell ref="K103:K104"/>
    <mergeCell ref="L103:L104"/>
    <mergeCell ref="M103:M104"/>
    <mergeCell ref="E114:E115"/>
    <mergeCell ref="F114:F115"/>
    <mergeCell ref="G114:G115"/>
    <mergeCell ref="H114:H115"/>
    <mergeCell ref="I114:I115"/>
    <mergeCell ref="J114:J115"/>
    <mergeCell ref="K114:K115"/>
    <mergeCell ref="L114:L115"/>
    <mergeCell ref="M114:M115"/>
    <mergeCell ref="E103:E104"/>
    <mergeCell ref="F103:F104"/>
    <mergeCell ref="G103:G104"/>
    <mergeCell ref="H103:H104"/>
    <mergeCell ref="I103:I104"/>
    <mergeCell ref="E92:E93"/>
    <mergeCell ref="F92:F93"/>
    <mergeCell ref="G92:G93"/>
    <mergeCell ref="H92:H93"/>
    <mergeCell ref="I92:I93"/>
    <mergeCell ref="J92:J93"/>
    <mergeCell ref="K92:K93"/>
    <mergeCell ref="L92:L93"/>
    <mergeCell ref="M92:M93"/>
    <mergeCell ref="J70:J71"/>
    <mergeCell ref="K70:K71"/>
    <mergeCell ref="L70:L71"/>
    <mergeCell ref="M70:M71"/>
    <mergeCell ref="E81:E82"/>
    <mergeCell ref="F81:F82"/>
    <mergeCell ref="G81:G82"/>
    <mergeCell ref="H81:H82"/>
    <mergeCell ref="I81:I82"/>
    <mergeCell ref="J81:J82"/>
    <mergeCell ref="K81:K82"/>
    <mergeCell ref="L81:L82"/>
    <mergeCell ref="M81:M82"/>
    <mergeCell ref="E70:E71"/>
    <mergeCell ref="F70:F71"/>
    <mergeCell ref="G70:G71"/>
    <mergeCell ref="H70:H71"/>
    <mergeCell ref="I70:I71"/>
    <mergeCell ref="M48:M49"/>
    <mergeCell ref="E59:E60"/>
    <mergeCell ref="F59:F60"/>
    <mergeCell ref="G59:G60"/>
    <mergeCell ref="H59:H60"/>
    <mergeCell ref="I59:I60"/>
    <mergeCell ref="J59:J60"/>
    <mergeCell ref="K59:K60"/>
    <mergeCell ref="L59:L60"/>
    <mergeCell ref="M59:M60"/>
    <mergeCell ref="B3:M3"/>
    <mergeCell ref="B4:B5"/>
    <mergeCell ref="C4:D4"/>
    <mergeCell ref="E4:E5"/>
    <mergeCell ref="F4:F5"/>
    <mergeCell ref="G4:G5"/>
    <mergeCell ref="H4:H5"/>
    <mergeCell ref="I4:I5"/>
    <mergeCell ref="J4:J5"/>
    <mergeCell ref="K4:K5"/>
    <mergeCell ref="M15:M16"/>
    <mergeCell ref="L4:L5"/>
    <mergeCell ref="M4:M5"/>
    <mergeCell ref="C6:C12"/>
    <mergeCell ref="D6:D12"/>
    <mergeCell ref="B14:M14"/>
    <mergeCell ref="B15:B16"/>
    <mergeCell ref="C15:D15"/>
    <mergeCell ref="E15:E16"/>
    <mergeCell ref="F15:F16"/>
    <mergeCell ref="G15:G16"/>
    <mergeCell ref="H15:H16"/>
    <mergeCell ref="I15:I16"/>
    <mergeCell ref="J15:J16"/>
    <mergeCell ref="K15:K16"/>
    <mergeCell ref="L15:L16"/>
    <mergeCell ref="B47:M47"/>
    <mergeCell ref="C17:C23"/>
    <mergeCell ref="D17:D23"/>
    <mergeCell ref="B25:M25"/>
    <mergeCell ref="B26:B27"/>
    <mergeCell ref="C26:D26"/>
    <mergeCell ref="C28:C34"/>
    <mergeCell ref="D28:D34"/>
    <mergeCell ref="G26:G27"/>
    <mergeCell ref="H26:H27"/>
    <mergeCell ref="I26:I27"/>
    <mergeCell ref="B36:M36"/>
    <mergeCell ref="B37:B38"/>
    <mergeCell ref="C37:D37"/>
    <mergeCell ref="C39:C45"/>
    <mergeCell ref="D39:D45"/>
    <mergeCell ref="C59:D59"/>
    <mergeCell ref="E48:E49"/>
    <mergeCell ref="F48:F49"/>
    <mergeCell ref="G48:G49"/>
    <mergeCell ref="H48:H49"/>
    <mergeCell ref="I48:I49"/>
    <mergeCell ref="J48:J49"/>
    <mergeCell ref="K48:K49"/>
    <mergeCell ref="L48:L49"/>
    <mergeCell ref="C116:C122"/>
    <mergeCell ref="D116:D122"/>
    <mergeCell ref="E26:E27"/>
    <mergeCell ref="F26:F27"/>
    <mergeCell ref="B102:M102"/>
    <mergeCell ref="B103:B104"/>
    <mergeCell ref="C103:D103"/>
    <mergeCell ref="C105:C111"/>
    <mergeCell ref="D105:D111"/>
    <mergeCell ref="B113:M113"/>
    <mergeCell ref="B91:M91"/>
    <mergeCell ref="B92:B93"/>
    <mergeCell ref="C92:D92"/>
    <mergeCell ref="C94:C100"/>
    <mergeCell ref="D94:D100"/>
    <mergeCell ref="B80:M80"/>
    <mergeCell ref="J26:J27"/>
    <mergeCell ref="K26:K27"/>
    <mergeCell ref="L26:L27"/>
    <mergeCell ref="M26:M27"/>
    <mergeCell ref="B114:B115"/>
    <mergeCell ref="C114:D114"/>
    <mergeCell ref="B81:B82"/>
    <mergeCell ref="C81:D81"/>
    <mergeCell ref="C83:C89"/>
    <mergeCell ref="D83:D89"/>
    <mergeCell ref="C61:C67"/>
    <mergeCell ref="D61:D67"/>
    <mergeCell ref="B69:M69"/>
    <mergeCell ref="B70:B71"/>
    <mergeCell ref="C70:D70"/>
    <mergeCell ref="C72:C78"/>
    <mergeCell ref="M37:M38"/>
    <mergeCell ref="E37:E38"/>
    <mergeCell ref="F37:F38"/>
    <mergeCell ref="G37:G38"/>
    <mergeCell ref="H37:H38"/>
    <mergeCell ref="I37:I38"/>
    <mergeCell ref="J37:J38"/>
    <mergeCell ref="K37:K38"/>
    <mergeCell ref="L37:L38"/>
    <mergeCell ref="D72:D78"/>
    <mergeCell ref="B48:B49"/>
    <mergeCell ref="C48:D48"/>
    <mergeCell ref="C50:C56"/>
    <mergeCell ref="D50:D56"/>
    <mergeCell ref="B58:M58"/>
    <mergeCell ref="B59:B6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N42"/>
  <sheetViews>
    <sheetView workbookViewId="0">
      <selection activeCell="C20" sqref="C20:C26"/>
    </sheetView>
  </sheetViews>
  <sheetFormatPr baseColWidth="10" defaultRowHeight="15" x14ac:dyDescent="0.25"/>
  <sheetData>
    <row r="2" spans="1:14" x14ac:dyDescent="0.25">
      <c r="C2">
        <v>11</v>
      </c>
      <c r="D2">
        <v>3</v>
      </c>
      <c r="G2">
        <v>15</v>
      </c>
      <c r="H2">
        <v>7.3</v>
      </c>
      <c r="J2">
        <v>19</v>
      </c>
      <c r="K2">
        <v>9.3000000000000007</v>
      </c>
      <c r="M2">
        <v>23</v>
      </c>
      <c r="N2">
        <v>9.1</v>
      </c>
    </row>
    <row r="3" spans="1:14" x14ac:dyDescent="0.25">
      <c r="C3">
        <v>11</v>
      </c>
      <c r="D3">
        <v>7.2</v>
      </c>
      <c r="G3">
        <v>11</v>
      </c>
      <c r="H3">
        <v>7.3</v>
      </c>
      <c r="J3">
        <v>16</v>
      </c>
      <c r="K3">
        <v>11</v>
      </c>
      <c r="M3">
        <v>15</v>
      </c>
      <c r="N3">
        <v>7.2</v>
      </c>
    </row>
    <row r="4" spans="1:14" x14ac:dyDescent="0.25">
      <c r="C4">
        <v>11</v>
      </c>
      <c r="D4">
        <v>3</v>
      </c>
      <c r="G4">
        <v>7.3</v>
      </c>
      <c r="H4">
        <v>3</v>
      </c>
      <c r="J4">
        <v>9.1999999999999993</v>
      </c>
      <c r="K4">
        <v>6.1</v>
      </c>
      <c r="M4">
        <v>11</v>
      </c>
      <c r="N4">
        <v>7.2</v>
      </c>
    </row>
    <row r="5" spans="1:14" x14ac:dyDescent="0.25">
      <c r="C5">
        <v>11</v>
      </c>
      <c r="D5">
        <v>11</v>
      </c>
      <c r="G5">
        <v>16</v>
      </c>
      <c r="H5">
        <v>11</v>
      </c>
      <c r="J5">
        <v>13</v>
      </c>
      <c r="K5">
        <v>6.1</v>
      </c>
      <c r="M5">
        <v>15</v>
      </c>
      <c r="N5">
        <v>11</v>
      </c>
    </row>
    <row r="6" spans="1:14" x14ac:dyDescent="0.25">
      <c r="C6">
        <v>11</v>
      </c>
      <c r="D6">
        <v>7.3</v>
      </c>
      <c r="G6">
        <v>15</v>
      </c>
      <c r="H6">
        <v>7.3</v>
      </c>
      <c r="J6">
        <v>12</v>
      </c>
      <c r="K6">
        <v>9.3000000000000007</v>
      </c>
      <c r="M6">
        <v>11</v>
      </c>
      <c r="N6">
        <v>3.6</v>
      </c>
    </row>
    <row r="7" spans="1:14" x14ac:dyDescent="0.25">
      <c r="C7">
        <v>7.3</v>
      </c>
      <c r="D7">
        <v>7.3</v>
      </c>
      <c r="G7">
        <v>7.2</v>
      </c>
      <c r="H7">
        <v>3.6</v>
      </c>
      <c r="J7">
        <v>9.1999999999999993</v>
      </c>
      <c r="K7">
        <v>3</v>
      </c>
      <c r="M7">
        <v>9</v>
      </c>
      <c r="N7">
        <v>3</v>
      </c>
    </row>
    <row r="8" spans="1:14" x14ac:dyDescent="0.25">
      <c r="C8">
        <v>3.6</v>
      </c>
      <c r="D8">
        <v>3.6</v>
      </c>
      <c r="G8">
        <v>7.2</v>
      </c>
      <c r="H8">
        <v>3.6</v>
      </c>
      <c r="J8">
        <v>7.3</v>
      </c>
      <c r="K8">
        <v>3.6</v>
      </c>
      <c r="M8">
        <v>6</v>
      </c>
      <c r="N8">
        <v>3</v>
      </c>
    </row>
    <row r="11" spans="1:14" x14ac:dyDescent="0.25">
      <c r="A11">
        <v>43</v>
      </c>
      <c r="B11">
        <v>23</v>
      </c>
      <c r="D11">
        <v>93</v>
      </c>
      <c r="E11">
        <v>43</v>
      </c>
    </row>
    <row r="12" spans="1:14" x14ac:dyDescent="0.25">
      <c r="A12">
        <v>23</v>
      </c>
      <c r="B12">
        <v>9.1</v>
      </c>
      <c r="D12">
        <v>43</v>
      </c>
      <c r="E12">
        <v>23</v>
      </c>
    </row>
    <row r="13" spans="1:14" x14ac:dyDescent="0.25">
      <c r="A13">
        <v>21</v>
      </c>
      <c r="B13">
        <v>15</v>
      </c>
      <c r="D13">
        <v>35</v>
      </c>
      <c r="E13">
        <v>28</v>
      </c>
    </row>
    <row r="14" spans="1:14" x14ac:dyDescent="0.25">
      <c r="A14">
        <v>21</v>
      </c>
      <c r="B14">
        <v>15</v>
      </c>
      <c r="D14">
        <v>43</v>
      </c>
      <c r="E14">
        <v>23</v>
      </c>
    </row>
    <row r="15" spans="1:14" x14ac:dyDescent="0.25">
      <c r="A15">
        <v>24</v>
      </c>
      <c r="B15">
        <v>15</v>
      </c>
      <c r="D15">
        <v>35</v>
      </c>
      <c r="E15">
        <v>21</v>
      </c>
    </row>
    <row r="16" spans="1:14" x14ac:dyDescent="0.25">
      <c r="A16">
        <v>9</v>
      </c>
      <c r="B16">
        <v>3</v>
      </c>
      <c r="D16">
        <v>15</v>
      </c>
      <c r="E16">
        <v>15</v>
      </c>
    </row>
    <row r="17" spans="1:13" x14ac:dyDescent="0.25">
      <c r="A17">
        <v>6</v>
      </c>
      <c r="B17">
        <v>3</v>
      </c>
      <c r="D17">
        <v>15</v>
      </c>
      <c r="E17">
        <v>15</v>
      </c>
    </row>
    <row r="18" spans="1:13" x14ac:dyDescent="0.25">
      <c r="F18" s="173">
        <v>3540</v>
      </c>
      <c r="G18" s="173">
        <v>2350</v>
      </c>
      <c r="H18" s="173">
        <v>2060</v>
      </c>
      <c r="I18" s="173">
        <v>2670</v>
      </c>
      <c r="J18" s="173">
        <v>2360</v>
      </c>
      <c r="K18">
        <v>315</v>
      </c>
      <c r="L18">
        <v>309</v>
      </c>
    </row>
    <row r="20" spans="1:13" x14ac:dyDescent="0.25">
      <c r="B20">
        <v>150</v>
      </c>
      <c r="C20">
        <v>75</v>
      </c>
      <c r="F20">
        <v>3540</v>
      </c>
    </row>
    <row r="21" spans="1:13" x14ac:dyDescent="0.25">
      <c r="B21">
        <v>75</v>
      </c>
      <c r="C21">
        <v>43</v>
      </c>
      <c r="F21">
        <v>2350</v>
      </c>
    </row>
    <row r="22" spans="1:13" x14ac:dyDescent="0.25">
      <c r="B22">
        <v>75</v>
      </c>
      <c r="C22">
        <v>23</v>
      </c>
      <c r="F22">
        <v>2060</v>
      </c>
    </row>
    <row r="23" spans="1:13" x14ac:dyDescent="0.25">
      <c r="B23">
        <v>43</v>
      </c>
      <c r="C23">
        <v>23</v>
      </c>
      <c r="F23">
        <v>2670</v>
      </c>
    </row>
    <row r="24" spans="1:13" x14ac:dyDescent="0.25">
      <c r="B24">
        <v>43</v>
      </c>
      <c r="C24">
        <v>15</v>
      </c>
      <c r="F24">
        <v>2360</v>
      </c>
    </row>
    <row r="25" spans="1:13" x14ac:dyDescent="0.25">
      <c r="B25">
        <v>35</v>
      </c>
      <c r="C25">
        <v>14</v>
      </c>
      <c r="F25">
        <v>315</v>
      </c>
    </row>
    <row r="26" spans="1:13" x14ac:dyDescent="0.25">
      <c r="B26">
        <v>15</v>
      </c>
      <c r="C26">
        <v>9.1</v>
      </c>
      <c r="F26">
        <v>309</v>
      </c>
    </row>
    <row r="31" spans="1:13" x14ac:dyDescent="0.25">
      <c r="G31">
        <v>3.6</v>
      </c>
      <c r="H31">
        <v>7.2</v>
      </c>
      <c r="I31">
        <v>3</v>
      </c>
      <c r="J31">
        <v>3.6</v>
      </c>
      <c r="K31">
        <v>6.1</v>
      </c>
      <c r="L31">
        <v>3.6</v>
      </c>
      <c r="M31">
        <v>6.1</v>
      </c>
    </row>
    <row r="32" spans="1:13" x14ac:dyDescent="0.25">
      <c r="G32">
        <v>3.6</v>
      </c>
      <c r="H32">
        <v>3.6</v>
      </c>
      <c r="I32">
        <v>3</v>
      </c>
      <c r="J32">
        <v>3.6</v>
      </c>
      <c r="K32">
        <v>3</v>
      </c>
      <c r="L32">
        <v>3</v>
      </c>
      <c r="M32">
        <v>3</v>
      </c>
    </row>
    <row r="36" spans="7:8" x14ac:dyDescent="0.25">
      <c r="G36">
        <v>3.6</v>
      </c>
      <c r="H36">
        <v>3.6</v>
      </c>
    </row>
    <row r="37" spans="7:8" x14ac:dyDescent="0.25">
      <c r="G37">
        <v>7.2</v>
      </c>
      <c r="H37">
        <v>3.6</v>
      </c>
    </row>
    <row r="38" spans="7:8" x14ac:dyDescent="0.25">
      <c r="G38">
        <v>3</v>
      </c>
      <c r="H38">
        <v>3</v>
      </c>
    </row>
    <row r="39" spans="7:8" x14ac:dyDescent="0.25">
      <c r="G39">
        <v>3.6</v>
      </c>
      <c r="H39">
        <v>3.6</v>
      </c>
    </row>
    <row r="40" spans="7:8" x14ac:dyDescent="0.25">
      <c r="G40">
        <v>6.1</v>
      </c>
      <c r="H40">
        <v>3</v>
      </c>
    </row>
    <row r="41" spans="7:8" x14ac:dyDescent="0.25">
      <c r="G41">
        <v>3.6</v>
      </c>
      <c r="H41">
        <v>3</v>
      </c>
    </row>
    <row r="42" spans="7:8" x14ac:dyDescent="0.25">
      <c r="G42">
        <v>6.1</v>
      </c>
      <c r="H42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14</vt:i4>
      </vt:variant>
    </vt:vector>
  </HeadingPairs>
  <TitlesOfParts>
    <vt:vector size="37" baseType="lpstr">
      <vt:lpstr>MARZO 2022</vt:lpstr>
      <vt:lpstr>GRAFICOS- MARZO2022</vt:lpstr>
      <vt:lpstr>FEBRERO 2025</vt:lpstr>
      <vt:lpstr>JULIO 2025 </vt:lpstr>
      <vt:lpstr>NOVIEMBRE 2025</vt:lpstr>
      <vt:lpstr>JUNIO 2023</vt:lpstr>
      <vt:lpstr>JULIO 2023 </vt:lpstr>
      <vt:lpstr>MAYO</vt:lpstr>
      <vt:lpstr>SETIEMBRE 2023</vt:lpstr>
      <vt:lpstr>JUNIO</vt:lpstr>
      <vt:lpstr>JULIO</vt:lpstr>
      <vt:lpstr>AGOSTO</vt:lpstr>
      <vt:lpstr>SETIEMBRE</vt:lpstr>
      <vt:lpstr>OCTUBRE</vt:lpstr>
      <vt:lpstr>NOVIEMBRE</vt:lpstr>
      <vt:lpstr>DICIEMBRE</vt:lpstr>
      <vt:lpstr>microbiologia</vt:lpstr>
      <vt:lpstr>ABRIL VS MARZO</vt:lpstr>
      <vt:lpstr>TOLERABCIA DE CULTIVOS ACONDUT</vt:lpstr>
      <vt:lpstr>graficos abril vs marzo</vt:lpstr>
      <vt:lpstr>PARAMETROS FISICOS</vt:lpstr>
      <vt:lpstr>PARAMETROS QUIMICOS  </vt:lpstr>
      <vt:lpstr>Hoja1</vt:lpstr>
      <vt:lpstr>AGOSTO!Área_de_impresión</vt:lpstr>
      <vt:lpstr>DICIEMBRE!Área_de_impresión</vt:lpstr>
      <vt:lpstr>'FEBRERO 2025'!Área_de_impresión</vt:lpstr>
      <vt:lpstr>JULIO!Área_de_impresión</vt:lpstr>
      <vt:lpstr>'JULIO 2023 '!Área_de_impresión</vt:lpstr>
      <vt:lpstr>'JULIO 2025 '!Área_de_impresión</vt:lpstr>
      <vt:lpstr>JUNIO!Área_de_impresión</vt:lpstr>
      <vt:lpstr>'JUNIO 2023'!Área_de_impresión</vt:lpstr>
      <vt:lpstr>MAYO!Área_de_impresión</vt:lpstr>
      <vt:lpstr>NOVIEMBRE!Área_de_impresión</vt:lpstr>
      <vt:lpstr>'NOVIEMBRE 2025'!Área_de_impresión</vt:lpstr>
      <vt:lpstr>OCTUBRE!Área_de_impresión</vt:lpstr>
      <vt:lpstr>SETIEMBRE!Área_de_impresión</vt:lpstr>
      <vt:lpstr>'SETIEMBRE 2023'!Área_de_impresión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Sistema Gestion Regantes</cp:lastModifiedBy>
  <dcterms:created xsi:type="dcterms:W3CDTF">2022-04-27T18:43:51Z</dcterms:created>
  <dcterms:modified xsi:type="dcterms:W3CDTF">2026-08-25T17:57:16Z</dcterms:modified>
</cp:coreProperties>
</file>