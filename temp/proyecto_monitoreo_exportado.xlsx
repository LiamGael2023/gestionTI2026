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856" visibility="visible"/>
  </bookViews>
  <sheets>
    <sheet name="SUB. CHAO - 2°- 2026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<sst xmlns="http://schemas.openxmlformats.org/spreadsheetml/2006/main" uniqueCount="139">
  <si>
    <r>
      <t xml:space="preserve">RESULTADOS ANÁLISIS FISICOS DE LA CALIDAD DE AGUA SUBTERRANEA VALLE DE VIRÚ
MARZO 2026 - 1° MONITOREO</t>
    </r>
  </si>
  <si>
    <r>
      <t xml:space="preserve">PARAMETRO</t>
    </r>
  </si>
  <si>
    <r>
      <t xml:space="preserve">Coordenada Datum: WGS-84</t>
    </r>
  </si>
  <si>
    <r>
      <t xml:space="preserve">Nº de Pozo de observación</t>
    </r>
  </si>
  <si>
    <r>
      <t xml:space="preserve">Conductividad Eléctrica</t>
    </r>
  </si>
  <si>
    <r>
      <t xml:space="preserve">Ph</t>
    </r>
  </si>
  <si>
    <r>
      <t xml:space="preserve">Sólidos Totales  Disueltos</t>
    </r>
  </si>
  <si>
    <r>
      <t xml:space="preserve">Temperatura</t>
    </r>
  </si>
  <si>
    <r>
      <t xml:space="preserve">Turbidez </t>
    </r>
  </si>
  <si>
    <r>
      <t xml:space="preserve">Nitratos  (NO3-) </t>
    </r>
  </si>
  <si>
    <r>
      <t xml:space="preserve">Nitritos  (NO2-)</t>
    </r>
  </si>
  <si>
    <r>
      <t xml:space="preserve">Cobre (Cu)</t>
    </r>
  </si>
  <si>
    <r>
      <t xml:space="preserve">Cromo Hexavalente (Cr6+)</t>
    </r>
  </si>
  <si>
    <r>
      <t xml:space="preserve">Sulfatos  (SO₄²-)</t>
    </r>
  </si>
  <si>
    <r>
      <t xml:space="preserve">Manganeso (Mn)</t>
    </r>
  </si>
  <si>
    <r>
      <t xml:space="preserve">Zinc (Zn)</t>
    </r>
  </si>
  <si>
    <r>
      <t xml:space="preserve">Hierro (Fe)</t>
    </r>
  </si>
  <si>
    <r>
      <t xml:space="preserve">Amonio 
(NH4) (*)</t>
    </r>
  </si>
  <si>
    <r>
      <t xml:space="preserve">Magnesio
(Mg) (*)</t>
    </r>
  </si>
  <si>
    <r>
      <t xml:space="preserve">Sodio
(Na) (*)</t>
    </r>
  </si>
  <si>
    <r>
      <t xml:space="preserve">Calcio
(Ca)</t>
    </r>
  </si>
  <si>
    <r>
      <t xml:space="preserve">Magnesio
(Mg) (*)
(me/L)</t>
    </r>
  </si>
  <si>
    <r>
      <t xml:space="preserve">Sodio
(Na) (*)
(me/L)</t>
    </r>
  </si>
  <si>
    <r>
      <t xml:space="preserve">Calcio
(Ca) (*)
(me/L)</t>
    </r>
  </si>
  <si>
    <r>
      <t xml:space="preserve">CÁLCULO 
RAS
(Relación de Absorción de Sodio)</t>
    </r>
  </si>
  <si>
    <r>
      <t xml:space="preserve">GRADO DE RESTRICCIÓN</t>
    </r>
  </si>
  <si>
    <r>
      <t xml:space="preserve">Coliformes
Totales</t>
    </r>
  </si>
  <si>
    <r>
      <t xml:space="preserve">Coliformes
Termotolerantes</t>
    </r>
  </si>
  <si>
    <r>
      <t xml:space="preserve">Escherichia coli</t>
    </r>
  </si>
  <si>
    <r>
      <t xml:space="preserve">UM</t>
    </r>
  </si>
  <si>
    <r>
      <t xml:space="preserve">µmho/cm</t>
    </r>
  </si>
  <si>
    <r>
      <t xml:space="preserve">ph</t>
    </r>
  </si>
  <si>
    <r>
      <t xml:space="preserve">mgL-1</t>
    </r>
  </si>
  <si>
    <r>
      <t xml:space="preserve">°C</t>
    </r>
  </si>
  <si>
    <r>
      <t xml:space="preserve">NTU</t>
    </r>
  </si>
  <si>
    <r>
      <t xml:space="preserve">mg/L</t>
    </r>
  </si>
  <si>
    <r>
      <t xml:space="preserve">UFC/100 ml</t>
    </r>
  </si>
  <si>
    <r>
      <t xml:space="preserve">DS N° 004-2017 MINAM</t>
    </r>
  </si>
  <si>
    <r>
      <t xml:space="preserve">Riego deVegetales</t>
    </r>
  </si>
  <si>
    <r>
      <t xml:space="preserve">6,5 – 8,5</t>
    </r>
  </si>
  <si>
    <r>
      <t xml:space="preserve">-</t>
    </r>
  </si>
  <si>
    <r>
      <t xml:space="preserve">0.1 (C.T)</t>
    </r>
  </si>
  <si>
    <r>
      <t xml:space="preserve">*</t>
    </r>
  </si>
  <si>
    <r>
      <t xml:space="preserve">Consumo de Animales</t>
    </r>
  </si>
  <si>
    <r>
      <t xml:space="preserve">6,5 – 8,4</t>
    </r>
  </si>
  <si>
    <r>
      <t xml:space="preserve">1  (C.T)</t>
    </r>
  </si>
  <si>
    <r>
      <t xml:space="preserve">DS N° 031-2010-SA.</t>
    </r>
  </si>
  <si>
    <r>
      <t xml:space="preserve">Consumo Humano</t>
    </r>
  </si>
  <si>
    <r>
      <t xml:space="preserve">1 500</t>
    </r>
  </si>
  <si>
    <r>
      <t xml:space="preserve">6.5-8.5</t>
    </r>
  </si>
  <si>
    <r>
      <t xml:space="preserve">1 000</t>
    </r>
  </si>
  <si>
    <t>M1</t>
  </si>
  <si>
    <t>L-40E</t>
  </si>
  <si>
    <t>IRHS-13-12-02-453</t>
  </si>
  <si>
    <t>-</t>
  </si>
  <si>
    <t>M2</t>
  </si>
  <si>
    <t>L-40H</t>
  </si>
  <si>
    <t>IRHS-13-12-02-497</t>
  </si>
  <si>
    <t>M3</t>
  </si>
  <si>
    <t>L-46</t>
  </si>
  <si>
    <t>IRHS-13-12-02-572</t>
  </si>
  <si>
    <t>M4</t>
  </si>
  <si>
    <t>J-18</t>
  </si>
  <si>
    <t>IRHS-13-12-02-613</t>
  </si>
  <si>
    <t>M5</t>
  </si>
  <si>
    <t>L-X5B</t>
  </si>
  <si>
    <t>IRHS-13-12-02-565</t>
  </si>
  <si>
    <t>M6</t>
  </si>
  <si>
    <t>P-167A</t>
  </si>
  <si>
    <t>IRHS-13-12-02-635</t>
  </si>
  <si>
    <t>M7</t>
  </si>
  <si>
    <t>P-173</t>
  </si>
  <si>
    <t>IRHS-13-12-02-1098</t>
  </si>
  <si>
    <t>M8</t>
  </si>
  <si>
    <t>M9</t>
  </si>
  <si>
    <t>M10</t>
  </si>
  <si>
    <t>M11</t>
  </si>
  <si>
    <t>M12</t>
  </si>
  <si>
    <t>M13</t>
  </si>
  <si>
    <t>M14</t>
  </si>
  <si>
    <t>L-71</t>
  </si>
  <si>
    <t>IRHS-13-12-02-473</t>
  </si>
  <si>
    <t>M15</t>
  </si>
  <si>
    <t>L-14A</t>
  </si>
  <si>
    <t>IRHS-13-12-02-492</t>
  </si>
  <si>
    <t>M16</t>
  </si>
  <si>
    <t>P-140A</t>
  </si>
  <si>
    <t>IRHS-13-12-02-511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</si>
  <si>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</si>
  <si>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</si>
  <si>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</si>
  <si>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</si>
  <si>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</si>
  <si>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</si>
  <si>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</si>
  <si>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</si>
  <si>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</si>
  <si>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L-1B</t>
  </si>
  <si>
    <t>IRHS-13-12-02-487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</si>
  <si>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</si>
  <si>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</si>
  <si>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</si>
  <si>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</si>
  <si>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</si>
  <si>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</si>
  <si>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</si>
  <si>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</si>
  <si>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</si>
  <si>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</si>
  <si>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</si>
  <si>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</si>
  <si>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</si>
  <si>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</si>
  <si>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</si>
  <si>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L-40D</t>
  </si>
  <si>
    <t>IRHS-13-12-02-452</t>
  </si>
  <si>
    <r>
      <t xml:space="preserve">*No se realiza metodo microbiológico requerido para aguas catergia 3 - ECAS. Metodo utilizado para agua subterránea -  Siembra en placa.</t>
    </r>
  </si>
  <si>
    <r>
      <t xml:space="preserve">+ No se realizó análisis. Pozo inaccesible</t>
    </r>
  </si>
  <si>
    <r>
      <t xml:space="preserve">RIEGO DE VEGETALES</t>
    </r>
  </si>
  <si>
    <r>
      <t xml:space="preserve">&gt;15</t>
    </r>
  </si>
  <si>
    <r>
      <t xml:space="preserve">&gt;41</t>
    </r>
  </si>
  <si>
    <r>
      <t xml:space="preserve">&lt;58&gt;</t>
    </r>
  </si>
  <si>
    <r>
      <t xml:space="preserve">&lt;14&gt;</t>
    </r>
  </si>
  <si>
    <r>
      <t xml:space="preserve">CONSUMO DE ANIMALES</t>
    </r>
  </si>
  <si>
    <r>
      <t xml:space="preserve">&gt;1</t>
    </r>
  </si>
  <si>
    <r>
      <t xml:space="preserve">&gt;34</t>
    </r>
  </si>
  <si>
    <r>
      <t xml:space="preserve">HUMANO</t>
    </r>
  </si>
  <si>
    <r>
      <t xml:space="preserve">&gt;14</t>
    </r>
  </si>
  <si>
    <r>
      <t xml:space="preserve">&gt;16</t>
    </r>
  </si>
  <si>
    <r>
      <t xml:space="preserve">&gt;12</t>
    </r>
  </si>
  <si>
    <r>
      <t xml:space="preserve">&lt;23&gt;</t>
    </r>
  </si>
  <si>
    <r>
      <t xml:space="preserve">&lt;16&gt;</t>
    </r>
  </si>
  <si>
    <r>
      <t xml:space="preserve">&gt;4</t>
    </r>
  </si>
  <si>
    <r>
      <t xml:space="preserve">MAX</t>
    </r>
  </si>
  <si>
    <r>
      <t xml:space="preserve">MIN</t>
    </r>
  </si>
  <si>
    <r>
      <t xml:space="preserve">1 microsiemens/centímetro = 0.001 milisiemens/centímetro</t>
    </r>
  </si>
  <si>
    <r>
      <t xml:space="preserve">1 mho/centímetro = 1 siemens/centímetro</t>
    </r>
  </si>
  <si>
    <r>
      <t xml:space="preserve">1us</t>
    </r>
  </si>
  <si>
    <r>
      <t xml:space="preserve">1 umho</t>
    </r>
  </si>
</sst>
</file>

<file path=xl/styles.xml><?xml version="1.0" encoding="utf-8"?>
<styleSheet xmlns="http://schemas.openxmlformats.org/spreadsheetml/2006/main" xml:space="preserve">
  <numFmts count="3">
    <numFmt numFmtId="164" formatCode="_ * #,##0_ ;_ * \-#,##0_ ;_ * &quot;-&quot;??_ ;_ @_ "/>
    <numFmt numFmtId="165" formatCode="_ * #,##0.00_ ;_ * \-#,##0.00_ ;_ * &quot;-&quot;??_ ;_ @_ "/>
    <numFmt numFmtId="166" formatCode="_ * #,##0.0_ ;_ * \-#,##0.0_ ;_ * &quot;-&quot;??_ ;_ @_ "/>
  </numFmts>
  <fonts count="1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9"/>
      <color rgb="FF000000"/>
      <name val="Calibri"/>
    </font>
    <font>
      <b val="0"/>
      <i val="0"/>
      <strike val="0"/>
      <u val="none"/>
      <sz val="9"/>
      <color rgb="FFFF0000"/>
      <name val="Calibri"/>
    </font>
    <font>
      <b val="1"/>
      <i val="0"/>
      <strike val="0"/>
      <u val="none"/>
      <sz val="15"/>
      <color rgb="FF000000"/>
      <name val="Calibri"/>
    </font>
    <font>
      <b val="0"/>
      <i val="0"/>
      <strike val="0"/>
      <u val="none"/>
      <sz val="9"/>
      <color rgb="FF000000"/>
      <name val="Calibri"/>
    </font>
    <font>
      <b val="1"/>
      <i val="0"/>
      <strike val="0"/>
      <u val="none"/>
      <sz val="11"/>
      <color rgb="FF000000"/>
      <name val="Arial"/>
    </font>
    <font>
      <b val="0"/>
      <i val="0"/>
      <strike val="0"/>
      <u val="none"/>
      <sz val="14"/>
      <color rgb="FF000000"/>
      <name val="Calibri"/>
    </font>
    <font>
      <b val="0"/>
      <i val="0"/>
      <strike val="0"/>
      <u val="none"/>
      <sz val="11"/>
      <color rgb="FF000000"/>
      <name val="Arial"/>
    </font>
    <font>
      <b val="1"/>
      <i val="0"/>
      <strike val="0"/>
      <u val="none"/>
      <sz val="9"/>
      <color rgb="FFFFFFFF"/>
      <name val="Calibri"/>
    </font>
    <font>
      <b val="1"/>
      <i val="0"/>
      <strike val="0"/>
      <u val="none"/>
      <sz val="11"/>
      <color rgb="FFFFFFFF"/>
      <name val="Arial"/>
    </font>
    <font>
      <b val="0"/>
      <i val="0"/>
      <strike val="0"/>
      <u val="none"/>
      <sz val="14"/>
      <color rgb="FFFFFFFF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none"/>
      <sz val="15"/>
      <color rgb="FFFFFFFF"/>
      <name val="Calibri"/>
    </font>
    <font>
      <b val="1"/>
      <i val="0"/>
      <strike val="0"/>
      <u val="none"/>
      <sz val="10"/>
      <color rgb="FFFFFFFF"/>
      <name val="Arial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11"/>
      <color rgb="FFFF0000"/>
      <name val="Arial"/>
    </font>
  </fonts>
  <fills count="9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0000"/>
        <bgColor rgb="FFFFFFFF"/>
      </patternFill>
    </fill>
    <fill>
      <patternFill patternType="solid">
        <fgColor rgb="FF548235"/>
        <bgColor rgb="FFFFFFFF"/>
      </patternFill>
    </fill>
    <fill>
      <patternFill patternType="solid">
        <fgColor rgb="FF548235"/>
        <bgColor rgb="FF000000"/>
      </patternFill>
    </fill>
    <fill>
      <patternFill patternType="solid">
        <fgColor rgb="FFE2EFDA"/>
        <bgColor rgb="FFFFFFFF"/>
      </patternFill>
    </fill>
    <fill>
      <patternFill patternType="solid">
        <fgColor rgb="FFF0FAF0"/>
        <bgColor rgb="FFFFFFFF"/>
      </patternFill>
    </fill>
  </fills>
  <borders count="8">
    <border/>
    <border>
      <left style="medium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numFmtId="0" fontId="0" fillId="0" borderId="0"/>
  </cellStyleXfs>
  <cellXfs count="47">
    <xf xfId="0" fontId="0" quotePrefix="1" numFmtId="0" fillId="0" borderId="0" applyFont="0" applyNumberFormat="0" applyFill="0" applyBorder="0" applyAlignment="0">
      <alignment horizontal="general" vertical="bottom" textRotation="0" wrapText="false" shrinkToFit="false"/>
    </xf>
    <xf xfId="0" fontId="1" quotePrefix="1" numFmtId="0" fillId="0" borderId="0" applyFont="1" applyNumberFormat="0" applyFill="0" applyBorder="0" applyAlignment="1">
      <alignment horizontal="center" vertical="center" textRotation="0" wrapText="true" shrinkToFit="false"/>
    </xf>
    <xf xfId="0" fontId="2" quotePrefix="1" numFmtId="0" fillId="0" borderId="0" applyFont="1" applyNumberFormat="0" applyFill="0" applyBorder="0" applyAlignment="1">
      <alignment horizontal="center" vertical="center" textRotation="0" wrapText="true" shrinkToFit="false"/>
    </xf>
    <xf xfId="0" fontId="3" quotePrefix="1" numFmtId="0" fillId="0" borderId="0" applyFont="1" applyNumberFormat="0" applyFill="0" applyBorder="0" applyAlignment="1">
      <alignment horizontal="center" vertical="center" textRotation="0" wrapText="true" shrinkToFit="false"/>
    </xf>
    <xf xfId="0" fontId="4" quotePrefix="1" numFmtId="0" fillId="0" borderId="0" applyFont="1" applyNumberFormat="0" applyFill="0" applyBorder="0" applyAlignment="1">
      <alignment horizontal="center" vertical="center" textRotation="0" wrapText="true" shrinkToFit="false"/>
    </xf>
    <xf xfId="0" fontId="1" quotePrefix="1" numFmtId="0" fillId="2" borderId="1" applyFont="1" applyNumberFormat="0" applyFill="1" applyBorder="1" applyAlignment="1">
      <alignment horizontal="center" vertical="center" textRotation="0" wrapText="true" shrinkToFit="false"/>
    </xf>
    <xf xfId="0" fontId="1" quotePrefix="1" numFmtId="0" fillId="2" borderId="1" applyFont="1" applyNumberFormat="0" applyFill="1" applyBorder="1" applyAlignment="1">
      <alignment horizontal="center" vertical="center" textRotation="0" wrapText="true" shrinkToFit="false"/>
    </xf>
    <xf xfId="0" fontId="5" quotePrefix="1" numFmtId="0" fillId="0" borderId="0" applyFont="1" applyNumberFormat="0" applyFill="0" applyBorder="0" applyAlignment="1">
      <alignment horizontal="center" vertical="center" textRotation="0" wrapText="false" shrinkToFit="false"/>
    </xf>
    <xf xfId="0" fontId="5" quotePrefix="1" numFmtId="0" fillId="0" borderId="0" applyFont="1" applyNumberFormat="0" applyFill="0" applyBorder="0" applyAlignment="1">
      <alignment horizontal="center" vertical="center" textRotation="0" wrapText="true" shrinkToFit="false"/>
    </xf>
    <xf xfId="0" fontId="5" quotePrefix="1" numFmtId="0" fillId="2" borderId="2" applyFont="1" applyNumberFormat="0" applyFill="1" applyBorder="1" applyAlignment="1">
      <alignment horizontal="center" vertical="center" textRotation="0" wrapText="true" shrinkToFit="false"/>
    </xf>
    <xf xfId="0" fontId="5" quotePrefix="1" numFmtId="0" fillId="2" borderId="2" applyFont="1" applyNumberFormat="0" applyFill="1" applyBorder="1" applyAlignment="1">
      <alignment horizontal="center" vertical="center" textRotation="0" wrapText="true" shrinkToFit="false"/>
    </xf>
    <xf xfId="0" fontId="5" quotePrefix="1" numFmtId="0" fillId="0" borderId="3" applyFont="1" applyNumberFormat="0" applyFill="0" applyBorder="1" applyAlignment="1">
      <alignment horizontal="center" vertical="center" textRotation="0" wrapText="true" shrinkToFit="false"/>
    </xf>
    <xf xfId="0" fontId="6" quotePrefix="1" numFmtId="0" fillId="0" borderId="0" applyFont="1" applyNumberFormat="0" applyFill="0" applyBorder="0" applyAlignment="1">
      <alignment horizontal="center" vertical="center" textRotation="0" wrapText="false" shrinkToFit="false"/>
    </xf>
    <xf xfId="0" fontId="0" quotePrefix="1" numFmtId="0" fillId="2" borderId="0" applyFont="0" applyNumberFormat="0" applyFill="1" applyBorder="0" applyAlignment="1">
      <alignment horizontal="center" vertical="center" textRotation="0" wrapText="false" shrinkToFit="false"/>
    </xf>
    <xf xfId="0" fontId="0" quotePrefix="1" numFmtId="0" fillId="2" borderId="0" applyFont="0" applyNumberFormat="0" applyFill="1" applyBorder="0" applyAlignment="1">
      <alignment horizontal="center" vertical="center" textRotation="0" wrapText="false" shrinkToFit="false"/>
    </xf>
    <xf xfId="0" fontId="5" quotePrefix="1" numFmtId="0" fillId="0" borderId="0" applyFont="1" applyNumberFormat="0" applyFill="0" applyBorder="0" applyAlignment="1">
      <alignment horizontal="center" vertical="center" textRotation="0" wrapText="false" shrinkToFit="false"/>
    </xf>
    <xf xfId="0" fontId="5" quotePrefix="1" numFmtId="0" fillId="2" borderId="2" applyFont="1" applyNumberFormat="0" applyFill="1" applyBorder="1" applyAlignment="1">
      <alignment horizontal="center" vertical="center" textRotation="0" wrapText="false" shrinkToFit="false"/>
    </xf>
    <xf xfId="0" fontId="7" quotePrefix="1" numFmtId="0" fillId="2" borderId="2" applyFont="1" applyNumberFormat="0" applyFill="1" applyBorder="1" applyAlignment="1">
      <alignment horizontal="center" vertical="center" textRotation="0" wrapText="false" shrinkToFit="false"/>
    </xf>
    <xf xfId="0" fontId="0" quotePrefix="1" numFmtId="1" fillId="0" borderId="0" applyFont="0" applyNumberFormat="1" applyFill="0" applyBorder="0" applyAlignment="1">
      <alignment horizontal="center" vertical="center" textRotation="0" wrapText="false" shrinkToFit="false"/>
    </xf>
    <xf xfId="0" fontId="0" quotePrefix="1" numFmtId="0" fillId="3" borderId="0" applyFont="0" applyNumberFormat="0" applyFill="1" applyBorder="0" applyAlignment="1">
      <alignment horizontal="center" vertical="center" textRotation="0" wrapText="false" shrinkToFit="false"/>
    </xf>
    <xf xfId="0" fontId="8" quotePrefix="1" numFmtId="0" fillId="0" borderId="0" applyFont="1" applyNumberFormat="0" applyFill="0" applyBorder="0" applyAlignment="1">
      <alignment horizontal="center" vertical="center" textRotation="0" wrapText="true" shrinkToFit="false"/>
    </xf>
    <xf xfId="0" fontId="5" quotePrefix="1" numFmtId="0" fillId="0" borderId="0" applyFont="1" applyNumberFormat="0" applyFill="0" applyBorder="0" applyAlignment="1">
      <alignment horizontal="center" vertical="center" textRotation="0" wrapText="true" shrinkToFit="false"/>
    </xf>
    <xf xfId="0" fontId="7" quotePrefix="1" numFmtId="0" fillId="0" borderId="0" applyFont="1" applyNumberFormat="0" applyFill="0" applyBorder="0" applyAlignment="1">
      <alignment horizontal="center" vertical="center" textRotation="0" wrapText="false" shrinkToFit="false"/>
    </xf>
    <xf xfId="0" fontId="7" quotePrefix="1" numFmtId="1" fillId="0" borderId="0" applyFont="1" applyNumberFormat="1" applyFill="0" applyBorder="0" applyAlignment="1">
      <alignment horizontal="center" vertical="center" textRotation="0" wrapText="false" shrinkToFit="false"/>
    </xf>
    <xf xfId="0" fontId="0" quotePrefix="1" numFmtId="0" fillId="0" borderId="0" applyFont="0" applyNumberFormat="0" applyFill="0" applyBorder="0" applyAlignment="1">
      <alignment horizontal="center" vertical="center" textRotation="0" wrapText="false" shrinkToFit="false"/>
    </xf>
    <xf xfId="0" fontId="0" quotePrefix="1" numFmtId="0" fillId="0" borderId="4" applyFont="0" applyNumberFormat="0" applyFill="0" applyBorder="1" applyAlignment="0">
      <alignment horizontal="general" vertical="bottom" textRotation="0" wrapText="false" shrinkToFit="false"/>
    </xf>
    <xf xfId="0" fontId="0" quotePrefix="1" numFmtId="164" fillId="2" borderId="0" applyFont="0" applyNumberFormat="1" applyFill="1" applyBorder="0" applyAlignment="1">
      <alignment horizontal="center" vertical="center" textRotation="0" wrapText="false" shrinkToFit="false"/>
    </xf>
    <xf xfId="0" fontId="5" quotePrefix="1" numFmtId="0" fillId="0" borderId="5" applyFont="1" applyNumberFormat="0" applyFill="0" applyBorder="1" applyAlignment="1">
      <alignment horizontal="center" vertical="center" textRotation="0" wrapText="true" shrinkToFit="false"/>
    </xf>
    <xf xfId="0" fontId="0" quotePrefix="1" numFmtId="0" fillId="0" borderId="6" applyFont="0" applyNumberFormat="0" applyFill="0" applyBorder="1" applyAlignment="0">
      <alignment horizontal="general" vertical="bottom" textRotation="0" wrapText="false" shrinkToFit="false"/>
    </xf>
    <xf xfId="0" fontId="5" quotePrefix="1" numFmtId="164" fillId="0" borderId="0" applyFont="1" applyNumberFormat="1" applyFill="0" applyBorder="0" applyAlignment="1">
      <alignment horizontal="center" vertical="center" textRotation="0" wrapText="true" shrinkToFit="false"/>
    </xf>
    <xf xfId="0" fontId="5" quotePrefix="1" numFmtId="164" fillId="4" borderId="0" applyFont="1" applyNumberFormat="1" applyFill="1" applyBorder="0" applyAlignment="1">
      <alignment horizontal="center" vertical="center" textRotation="0" wrapText="false" shrinkToFit="false"/>
    </xf>
    <xf xfId="0" fontId="5" quotePrefix="1" numFmtId="165" fillId="4" borderId="0" applyFont="1" applyNumberFormat="1" applyFill="1" applyBorder="0" applyAlignment="1">
      <alignment horizontal="center" vertical="center" textRotation="0" wrapText="false" shrinkToFit="false"/>
    </xf>
    <xf xfId="0" fontId="5" quotePrefix="1" numFmtId="166" fillId="4" borderId="0" applyFont="1" applyNumberFormat="1" applyFill="1" applyBorder="0" applyAlignment="1">
      <alignment horizontal="center" vertical="center" textRotation="0" wrapText="false" shrinkToFit="false"/>
    </xf>
    <xf xfId="0" fontId="7" quotePrefix="1" numFmtId="164" fillId="0" borderId="0" applyFont="1" applyNumberFormat="1" applyFill="0" applyBorder="0" applyAlignment="1">
      <alignment horizontal="center" vertical="center" textRotation="0" wrapText="false" shrinkToFit="false"/>
    </xf>
    <xf xfId="0" fontId="7" quotePrefix="1" numFmtId="165" fillId="0" borderId="0" applyFont="1" applyNumberFormat="1" applyFill="0" applyBorder="0" applyAlignment="1">
      <alignment horizontal="center" vertical="center" textRotation="0" wrapText="false" shrinkToFit="false"/>
    </xf>
    <xf xfId="0" fontId="7" quotePrefix="1" numFmtId="166" fillId="0" borderId="0" applyFont="1" applyNumberFormat="1" applyFill="0" applyBorder="0" applyAlignment="1">
      <alignment horizontal="center" vertical="center" textRotation="0" wrapText="false" shrinkToFit="false"/>
    </xf>
    <xf xfId="0" fontId="9" quotePrefix="1" numFmtId="0" fillId="5" borderId="7" applyFont="1" applyNumberFormat="0" applyFill="1" applyBorder="1" applyAlignment="1">
      <alignment horizontal="center" vertical="center" textRotation="0" wrapText="true" shrinkToFit="false"/>
    </xf>
    <xf xfId="0" fontId="10" quotePrefix="1" numFmtId="0" fillId="6" borderId="7" applyFont="1" applyNumberFormat="0" applyFill="1" applyBorder="1" applyAlignment="1">
      <alignment horizontal="center" vertical="center" textRotation="0" wrapText="false" shrinkToFit="false"/>
    </xf>
    <xf xfId="0" fontId="11" quotePrefix="1" numFmtId="0" fillId="6" borderId="7" applyFont="1" applyNumberFormat="0" applyFill="1" applyBorder="1" applyAlignment="1">
      <alignment horizontal="center" vertical="center" textRotation="0" wrapText="false" shrinkToFit="false"/>
    </xf>
    <xf xfId="0" fontId="12" quotePrefix="1" numFmtId="0" fillId="5" borderId="7" applyFont="1" applyNumberFormat="0" applyFill="1" applyBorder="1" applyAlignment="1">
      <alignment horizontal="center" vertical="center" textRotation="0" wrapText="true" shrinkToFit="false"/>
    </xf>
    <xf xfId="0" fontId="11" quotePrefix="1" numFmtId="0" fillId="6" borderId="7" applyFont="1" applyNumberFormat="0" applyFill="1" applyBorder="1" applyAlignment="0">
      <alignment horizontal="general" vertical="bottom" textRotation="0" wrapText="false" shrinkToFit="false"/>
    </xf>
    <xf xfId="0" fontId="9" quotePrefix="1" numFmtId="3" fillId="5" borderId="7" applyFont="1" applyNumberFormat="1" applyFill="1" applyBorder="1" applyAlignment="1">
      <alignment horizontal="center" vertical="center" textRotation="0" wrapText="true" shrinkToFit="false"/>
    </xf>
    <xf xfId="0" fontId="13" quotePrefix="1" numFmtId="0" fillId="5" borderId="7" applyFont="1" applyNumberFormat="0" applyFill="1" applyBorder="1" applyAlignment="1">
      <alignment horizontal="center" vertical="center" textRotation="0" wrapText="true" shrinkToFit="false"/>
    </xf>
    <xf xfId="0" fontId="7" quotePrefix="1" numFmtId="0" fillId="7" borderId="7" applyFont="1" applyNumberFormat="0" applyFill="1" applyBorder="1" applyAlignment="1">
      <alignment horizontal="center" vertical="center" textRotation="0" wrapText="true" shrinkToFit="false"/>
    </xf>
    <xf xfId="0" fontId="14" quotePrefix="1" numFmtId="0" fillId="7" borderId="7" applyFont="1" applyNumberFormat="0" applyFill="1" applyBorder="1" applyAlignment="1">
      <alignment horizontal="center" vertical="center" textRotation="0" wrapText="true" shrinkToFit="false"/>
    </xf>
    <xf xfId="0" fontId="15" quotePrefix="1" numFmtId="0" fillId="7" borderId="7" applyFont="1" applyNumberFormat="0" applyFill="1" applyBorder="1" applyAlignment="1">
      <alignment horizontal="center" vertical="center" textRotation="0" wrapText="true" shrinkToFit="false"/>
    </xf>
    <xf xfId="0" fontId="7" quotePrefix="1" numFmtId="0" fillId="8" borderId="7" applyFont="1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F74"/>
  <sheetViews>
    <sheetView tabSelected="1" workbookViewId="0" showGridLines="true" showRowColHeaders="1">
      <selection activeCell="M17" sqref="M17"/>
    </sheetView>
  </sheetViews>
  <sheetFormatPr defaultRowHeight="14.4" defaultColWidth="11.42578125" outlineLevelRow="0" outlineLevelCol="0"/>
  <cols>
    <col min="1" max="1" width="11.42578125" style="24"/>
    <col min="2" max="2" width="24.28515625" customWidth="true" style="24"/>
    <col min="3" max="3" width="11" customWidth="true" style="24"/>
    <col min="4" max="4" width="11.28515625" customWidth="true" style="24"/>
    <col min="5" max="5" width="10.7109375" customWidth="true" style="24"/>
    <col min="6" max="6" width="16.7109375" customWidth="true" style="24"/>
    <col min="7" max="7" width="15.5703125" customWidth="true" style="24"/>
    <col min="8" max="8" width="11.42578125" style="24"/>
    <col min="9" max="9" width="15.28515625" customWidth="true" style="24"/>
    <col min="10" max="10" width="16.7109375" customWidth="true" style="24"/>
    <col min="11" max="11" width="11.42578125" style="24"/>
    <col min="12" max="12" width="12.140625" customWidth="true" style="24"/>
    <col min="13" max="13" width="11.42578125" style="24"/>
    <col min="14" max="14" width="11.42578125" style="24"/>
    <col min="15" max="15" width="16.42578125" customWidth="true" style="24"/>
    <col min="16" max="16" width="12.28515625" customWidth="true" style="24"/>
    <col min="17" max="17" width="14.85546875" customWidth="true" style="24"/>
    <col min="18" max="18" width="12.7109375" customWidth="true" style="24"/>
    <col min="19" max="19" width="13.7109375" customWidth="true" style="24"/>
    <col min="20" max="20" width="13.7109375" customWidth="true" style="24"/>
    <col min="21" max="21" width="13.7109375" customWidth="true" style="24"/>
    <col min="22" max="22" width="13.7109375" customWidth="true" style="24"/>
    <col min="23" max="23" width="13.7109375" customWidth="true" style="24"/>
    <col min="24" max="24" width="13.7109375" customWidth="true" style="24"/>
    <col min="25" max="25" width="13.7109375" customWidth="true" style="24"/>
    <col min="26" max="26" width="13.7109375" customWidth="true" style="24"/>
    <col min="27" max="27" width="13.7109375" customWidth="true" style="24"/>
    <col min="28" max="28" width="23.28515625" customWidth="true" style="24"/>
    <col min="29" max="29" width="13.7109375" customWidth="true" style="24"/>
    <col min="30" max="30" width="20.28515625" customWidth="true" style="24"/>
    <col min="31" max="31" width="18.7109375" customWidth="true" style="24"/>
    <col min="32" max="32" width="11.42578125" style="24"/>
  </cols>
  <sheetData>
    <row r="2" spans="1:32" customHeight="1" ht="11.25">
      <c r="U2" s="24">
        <v>24.305</v>
      </c>
      <c r="V2" s="24">
        <v>22.989</v>
      </c>
      <c r="W2" s="24">
        <v>40.078</v>
      </c>
    </row>
    <row r="3" spans="1:32" customHeight="1" ht="12">
      <c r="U3" s="24">
        <v>2</v>
      </c>
      <c r="V3" s="24">
        <v>1</v>
      </c>
      <c r="W3" s="24">
        <v>2</v>
      </c>
    </row>
    <row r="4" spans="1:32" customHeight="1" ht="39" s="12" customFormat="1">
      <c r="A4" s="37"/>
      <c r="B4" s="39" t="inlineStr">
        <is>
          <r>
            <t xml:space="preserve">RESULTADOS ANÁLISIS FISICOS DE LA CALIDAD DE AGUA SUBTERRANEA VALLE DE VIRÚ
MARZO 2026 - 1° MONITOREO</t>
          </r>
        </is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37"/>
    </row>
    <row r="5" spans="1:32" customHeight="1" ht="2.25">
      <c r="A5" s="38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</row>
    <row r="6" spans="1:32" customHeight="1" ht="45.75">
      <c r="A6" s="38"/>
      <c r="B6" s="36" t="inlineStr">
        <is>
          <r>
            <t xml:space="preserve">PARAMETRO</t>
          </r>
        </is>
      </c>
      <c r="C6" s="36" t="inlineStr">
        <is>
          <r>
            <t xml:space="preserve">Coordenada Datum: WGS-84</t>
          </r>
        </is>
      </c>
      <c r="D6" s="40"/>
      <c r="E6" s="36" t="inlineStr">
        <is>
          <r>
            <t xml:space="preserve">Nº de Pozo de observación</t>
          </r>
        </is>
      </c>
      <c r="F6" s="40"/>
      <c r="G6" s="36" t="inlineStr">
        <is>
          <r>
            <t xml:space="preserve">Conductividad Eléctrica</t>
          </r>
        </is>
      </c>
      <c r="H6" s="36" t="inlineStr">
        <is>
          <r>
            <t xml:space="preserve">Ph</t>
          </r>
        </is>
      </c>
      <c r="I6" s="36" t="inlineStr">
        <is>
          <r>
            <t xml:space="preserve">Sólidos Totales  Disueltos</t>
          </r>
        </is>
      </c>
      <c r="J6" s="36" t="inlineStr">
        <is>
          <r>
            <t xml:space="preserve">Temperatura</t>
          </r>
        </is>
      </c>
      <c r="K6" s="36" t="inlineStr">
        <is>
          <r>
            <t xml:space="preserve">Turbidez </t>
          </r>
        </is>
      </c>
      <c r="L6" s="42" t="inlineStr">
        <is>
          <r>
            <t xml:space="preserve">Nitratos  (NO3-) </t>
          </r>
        </is>
      </c>
      <c r="M6" s="36" t="inlineStr">
        <is>
          <r>
            <t xml:space="preserve">Nitritos  (NO2-)</t>
          </r>
        </is>
      </c>
      <c r="N6" s="36" t="inlineStr">
        <is>
          <r>
            <t xml:space="preserve">Cobre (Cu)</t>
          </r>
        </is>
      </c>
      <c r="O6" s="36" t="inlineStr">
        <is>
          <r>
            <t xml:space="preserve">Cromo Hexavalente (Cr6+)</t>
          </r>
        </is>
      </c>
      <c r="P6" s="36" t="inlineStr">
        <is>
          <r>
            <t xml:space="preserve">Sulfatos  (SO₄²-)</t>
          </r>
        </is>
      </c>
      <c r="Q6" s="36" t="inlineStr">
        <is>
          <r>
            <t xml:space="preserve">Manganeso (Mn)</t>
          </r>
        </is>
      </c>
      <c r="R6" s="36" t="inlineStr">
        <is>
          <r>
            <t xml:space="preserve">Zinc (Zn)</t>
          </r>
        </is>
      </c>
      <c r="S6" s="36" t="inlineStr">
        <is>
          <r>
            <t xml:space="preserve">Hierro (Fe)</t>
          </r>
        </is>
      </c>
      <c r="T6" s="36" t="inlineStr">
        <is>
          <r>
            <t xml:space="preserve">Amonio 
(NH4) (*)</t>
          </r>
        </is>
      </c>
      <c r="U6" s="36" t="inlineStr">
        <is>
          <r>
            <t xml:space="preserve">Magnesio
(Mg) (*)</t>
          </r>
        </is>
      </c>
      <c r="V6" s="36" t="inlineStr">
        <is>
          <r>
            <t xml:space="preserve">Sodio
(Na) (*)</t>
          </r>
        </is>
      </c>
      <c r="W6" s="36" t="inlineStr">
        <is>
          <r>
            <t xml:space="preserve">Calcio
(Ca)</t>
          </r>
        </is>
      </c>
      <c r="X6" s="36" t="inlineStr">
        <is>
          <r>
            <t xml:space="preserve">Magnesio
(Mg) (*)
(me/L)</t>
          </r>
        </is>
      </c>
      <c r="Y6" s="36" t="inlineStr">
        <is>
          <r>
            <t xml:space="preserve">Sodio
(Na) (*)
(me/L)</t>
          </r>
        </is>
      </c>
      <c r="Z6" s="36" t="inlineStr">
        <is>
          <r>
            <t xml:space="preserve">Calcio
(Ca) (*)
(me/L)</t>
          </r>
        </is>
      </c>
      <c r="AA6" s="36" t="inlineStr">
        <is>
          <r>
            <t xml:space="preserve">CÁLCULO 
RAS
(Relación de Absorción de Sodio)</t>
          </r>
        </is>
      </c>
      <c r="AB6" s="36" t="inlineStr">
        <is>
          <r>
            <t xml:space="preserve">GRADO DE RESTRICCIÓN</t>
          </r>
        </is>
      </c>
      <c r="AC6" s="36" t="inlineStr">
        <is>
          <r>
            <t xml:space="preserve">Coliformes
Totales</t>
          </r>
        </is>
      </c>
      <c r="AD6" s="36" t="inlineStr">
        <is>
          <r>
            <t xml:space="preserve">Coliformes
Termotolerantes</t>
          </r>
        </is>
      </c>
      <c r="AE6" s="36" t="inlineStr">
        <is>
          <r>
            <t xml:space="preserve">Escherichia coli</t>
          </r>
        </is>
      </c>
      <c r="AF6" s="38"/>
    </row>
    <row r="7" spans="1:32" customHeight="1" ht="15.75">
      <c r="A7" s="38"/>
      <c r="B7" s="36" t="inlineStr">
        <is>
          <r>
            <t xml:space="preserve">UM</t>
          </r>
        </is>
      </c>
      <c r="C7" s="40"/>
      <c r="D7" s="40"/>
      <c r="E7" s="40"/>
      <c r="F7" s="40"/>
      <c r="G7" s="36" t="inlineStr">
        <is>
          <r>
            <t xml:space="preserve">µmho/cm</t>
          </r>
        </is>
      </c>
      <c r="H7" s="36" t="inlineStr">
        <is>
          <r>
            <t xml:space="preserve">ph</t>
          </r>
        </is>
      </c>
      <c r="I7" s="36" t="inlineStr">
        <is>
          <r>
            <t xml:space="preserve">mgL-1</t>
          </r>
        </is>
      </c>
      <c r="J7" s="36" t="inlineStr">
        <is>
          <r>
            <t xml:space="preserve">°C</t>
          </r>
        </is>
      </c>
      <c r="K7" s="36" t="inlineStr">
        <is>
          <r>
            <t xml:space="preserve">NTU</t>
          </r>
        </is>
      </c>
      <c r="L7" s="36" t="inlineStr">
        <is>
          <r>
            <t xml:space="preserve">mg/L</t>
          </r>
        </is>
      </c>
      <c r="M7" s="36" t="inlineStr">
        <is>
          <r>
            <t xml:space="preserve">mg/L</t>
          </r>
        </is>
      </c>
      <c r="N7" s="36" t="inlineStr">
        <is>
          <r>
            <t xml:space="preserve">mg/L</t>
          </r>
        </is>
      </c>
      <c r="O7" s="36" t="inlineStr">
        <is>
          <r>
            <t xml:space="preserve">mg/L</t>
          </r>
        </is>
      </c>
      <c r="P7" s="36" t="inlineStr">
        <is>
          <r>
            <t xml:space="preserve">mg/L</t>
          </r>
        </is>
      </c>
      <c r="Q7" s="36" t="inlineStr">
        <is>
          <r>
            <t xml:space="preserve">mg/L</t>
          </r>
        </is>
      </c>
      <c r="R7" s="36" t="inlineStr">
        <is>
          <r>
            <t xml:space="preserve">mg/L</t>
          </r>
        </is>
      </c>
      <c r="S7" s="36" t="inlineStr">
        <is>
          <r>
            <t xml:space="preserve">mg/L</t>
          </r>
        </is>
      </c>
      <c r="T7" s="36" t="inlineStr">
        <is>
          <r>
            <t xml:space="preserve">mg/L</t>
          </r>
        </is>
      </c>
      <c r="U7" s="36" t="inlineStr">
        <is>
          <r>
            <t xml:space="preserve">mg/L</t>
          </r>
        </is>
      </c>
      <c r="V7" s="36" t="inlineStr">
        <is>
          <r>
            <t xml:space="preserve">mg/L</t>
          </r>
        </is>
      </c>
      <c r="W7" s="36" t="inlineStr">
        <is>
          <r>
            <t xml:space="preserve">mg/L</t>
          </r>
        </is>
      </c>
      <c r="X7" s="40"/>
      <c r="Y7" s="40"/>
      <c r="Z7" s="40"/>
      <c r="AA7" s="40"/>
      <c r="AB7" s="40"/>
      <c r="AC7" s="36" t="inlineStr">
        <is>
          <r>
            <t xml:space="preserve">UFC/100 ml</t>
          </r>
        </is>
      </c>
      <c r="AD7" s="36" t="inlineStr">
        <is>
          <r>
            <t xml:space="preserve">UFC/100 ml</t>
          </r>
        </is>
      </c>
      <c r="AE7" s="36" t="inlineStr">
        <is>
          <r>
            <t xml:space="preserve">UFC/100 ml</t>
          </r>
        </is>
      </c>
      <c r="AF7" s="38"/>
    </row>
    <row r="8" spans="1:32" customHeight="1" ht="15.75">
      <c r="A8" s="38"/>
      <c r="B8" s="36" t="inlineStr">
        <is>
          <r>
            <t xml:space="preserve">DS N° 004-2017 MINAM</t>
          </r>
        </is>
      </c>
      <c r="C8" s="40"/>
      <c r="D8" s="40"/>
      <c r="E8" s="41" t="inlineStr">
        <is>
          <r>
            <t xml:space="preserve">Riego deVegetales</t>
          </r>
        </is>
      </c>
      <c r="F8" s="40"/>
      <c r="G8" s="41">
        <v>2500</v>
      </c>
      <c r="H8" s="36" t="inlineStr">
        <is>
          <r>
            <t xml:space="preserve">6,5 – 8,5</t>
          </r>
        </is>
      </c>
      <c r="I8" s="41" t="inlineStr">
        <is>
          <r>
            <t xml:space="preserve">-</t>
          </r>
        </is>
      </c>
      <c r="J8" s="41" t="inlineStr">
        <is>
          <r>
            <t xml:space="preserve">-</t>
          </r>
        </is>
      </c>
      <c r="K8" s="41" t="inlineStr">
        <is>
          <r>
            <t xml:space="preserve">-</t>
          </r>
        </is>
      </c>
      <c r="L8" s="36">
        <v>100</v>
      </c>
      <c r="M8" s="41">
        <v>10</v>
      </c>
      <c r="N8" s="36">
        <v>0.2</v>
      </c>
      <c r="O8" s="36" t="inlineStr">
        <is>
          <r>
            <t xml:space="preserve">0.1 (C.T)</t>
          </r>
        </is>
      </c>
      <c r="P8" s="36">
        <v>1000</v>
      </c>
      <c r="Q8" s="36">
        <v>0.2</v>
      </c>
      <c r="R8" s="36">
        <v>2</v>
      </c>
      <c r="S8" s="41">
        <v>5</v>
      </c>
      <c r="T8" s="41" t="inlineStr">
        <is>
          <r>
            <t xml:space="preserve">-</t>
          </r>
        </is>
      </c>
      <c r="U8" s="41" t="inlineStr">
        <is>
          <r>
            <t xml:space="preserve">-</t>
          </r>
        </is>
      </c>
      <c r="V8" s="41" t="inlineStr">
        <is>
          <r>
            <t xml:space="preserve">-</t>
          </r>
        </is>
      </c>
      <c r="W8" s="41" t="inlineStr">
        <is>
          <r>
            <t xml:space="preserve">-</t>
          </r>
        </is>
      </c>
      <c r="X8" s="40"/>
      <c r="Y8" s="40"/>
      <c r="Z8" s="40"/>
      <c r="AA8" s="40"/>
      <c r="AB8" s="40"/>
      <c r="AC8" s="36" t="inlineStr">
        <is>
          <r>
            <t xml:space="preserve">*</t>
          </r>
        </is>
      </c>
      <c r="AD8" s="40"/>
      <c r="AE8" s="40"/>
      <c r="AF8" s="38"/>
    </row>
    <row r="9" spans="1:32" customHeight="1" ht="15.75">
      <c r="A9" s="38"/>
      <c r="B9" s="40"/>
      <c r="C9" s="40"/>
      <c r="D9" s="40"/>
      <c r="E9" s="41" t="inlineStr">
        <is>
          <r>
            <t xml:space="preserve">Consumo de Animales</t>
          </r>
        </is>
      </c>
      <c r="F9" s="40"/>
      <c r="G9" s="41">
        <v>5000</v>
      </c>
      <c r="H9" s="36" t="inlineStr">
        <is>
          <r>
            <t xml:space="preserve">6,5 – 8,4</t>
          </r>
        </is>
      </c>
      <c r="I9" s="41" t="inlineStr">
        <is>
          <r>
            <t xml:space="preserve">-</t>
          </r>
        </is>
      </c>
      <c r="J9" s="41" t="inlineStr">
        <is>
          <r>
            <t xml:space="preserve">-</t>
          </r>
        </is>
      </c>
      <c r="K9" s="41" t="inlineStr">
        <is>
          <r>
            <t xml:space="preserve">-</t>
          </r>
        </is>
      </c>
      <c r="L9" s="36">
        <v>100</v>
      </c>
      <c r="M9" s="41">
        <v>10</v>
      </c>
      <c r="N9" s="36">
        <v>0.5</v>
      </c>
      <c r="O9" s="36" t="inlineStr">
        <is>
          <r>
            <t xml:space="preserve">1  (C.T)</t>
          </r>
        </is>
      </c>
      <c r="P9" s="36">
        <v>1000</v>
      </c>
      <c r="Q9" s="36">
        <v>0.2</v>
      </c>
      <c r="R9" s="36">
        <v>24</v>
      </c>
      <c r="S9" s="41" t="inlineStr">
        <is>
          <r>
            <t xml:space="preserve">-</t>
          </r>
        </is>
      </c>
      <c r="T9" s="41" t="inlineStr">
        <is>
          <r>
            <t xml:space="preserve">-</t>
          </r>
        </is>
      </c>
      <c r="U9" s="36">
        <v>250</v>
      </c>
      <c r="V9" s="41" t="inlineStr">
        <is>
          <r>
            <t xml:space="preserve">-</t>
          </r>
        </is>
      </c>
      <c r="W9" s="41" t="inlineStr">
        <is>
          <r>
            <t xml:space="preserve">-</t>
          </r>
        </is>
      </c>
      <c r="X9" s="40"/>
      <c r="Y9" s="40"/>
      <c r="Z9" s="40"/>
      <c r="AA9" s="40"/>
      <c r="AB9" s="40"/>
      <c r="AC9" s="36" t="inlineStr">
        <is>
          <r>
            <t xml:space="preserve">*</t>
          </r>
        </is>
      </c>
      <c r="AD9" s="40"/>
      <c r="AE9" s="40"/>
      <c r="AF9" s="38"/>
    </row>
    <row r="10" spans="1:32" customHeight="1" ht="15.75">
      <c r="A10" s="38"/>
      <c r="B10" s="36" t="inlineStr">
        <is>
          <r>
            <t xml:space="preserve">DS N° 031-2010-SA.</t>
          </r>
        </is>
      </c>
      <c r="C10" s="40"/>
      <c r="D10" s="40"/>
      <c r="E10" s="41" t="inlineStr">
        <is>
          <r>
            <t xml:space="preserve">Consumo Humano</t>
          </r>
        </is>
      </c>
      <c r="F10" s="40"/>
      <c r="G10" s="36" t="inlineStr">
        <is>
          <r>
            <t xml:space="preserve">1 500</t>
          </r>
        </is>
      </c>
      <c r="H10" s="36" t="inlineStr">
        <is>
          <r>
            <t xml:space="preserve">6.5-8.5</t>
          </r>
        </is>
      </c>
      <c r="I10" s="36" t="inlineStr">
        <is>
          <r>
            <t xml:space="preserve">1 000</t>
          </r>
        </is>
      </c>
      <c r="J10" s="36" t="inlineStr">
        <is>
          <r>
            <t xml:space="preserve">-</t>
          </r>
        </is>
      </c>
      <c r="K10" s="36">
        <v>5</v>
      </c>
      <c r="L10" s="36">
        <v>50</v>
      </c>
      <c r="M10" s="36">
        <v>3</v>
      </c>
      <c r="N10" s="36">
        <v>2</v>
      </c>
      <c r="O10" s="36">
        <v>0.05</v>
      </c>
      <c r="P10" s="36">
        <v>250</v>
      </c>
      <c r="Q10" s="36">
        <v>0.4</v>
      </c>
      <c r="R10" s="36">
        <v>3</v>
      </c>
      <c r="S10" s="36">
        <v>0.3</v>
      </c>
      <c r="T10" s="36" t="inlineStr">
        <is>
          <r>
            <t xml:space="preserve">-</t>
          </r>
        </is>
      </c>
      <c r="U10" s="36" t="inlineStr">
        <is>
          <r>
            <t xml:space="preserve">-</t>
          </r>
        </is>
      </c>
      <c r="V10" s="36">
        <v>200</v>
      </c>
      <c r="W10" s="36" t="inlineStr">
        <is>
          <r>
            <t xml:space="preserve">-</t>
          </r>
        </is>
      </c>
      <c r="X10" s="40"/>
      <c r="Y10" s="40"/>
      <c r="Z10" s="40"/>
      <c r="AA10" s="40"/>
      <c r="AB10" s="40"/>
      <c r="AC10" s="36">
        <v>0</v>
      </c>
      <c r="AD10" s="36">
        <v>0</v>
      </c>
      <c r="AE10" s="36">
        <v>0</v>
      </c>
      <c r="AF10" s="38"/>
    </row>
    <row r="11" spans="1:32" customHeight="1" ht="15.75" s="13" customFormat="1">
      <c r="B11" s="43" t="s">
        <v>51</v>
      </c>
      <c r="C11" s="43">
        <v>753978.0</v>
      </c>
      <c r="D11" s="43">
        <v>9054160.0</v>
      </c>
      <c r="E11" s="43" t="s">
        <v>52</v>
      </c>
      <c r="F11" s="44" t="s">
        <v>53</v>
      </c>
      <c r="G11" s="43" t="s">
        <v>54</v>
      </c>
      <c r="H11" s="43" t="s">
        <v>54</v>
      </c>
      <c r="I11" s="43" t="s">
        <v>54</v>
      </c>
      <c r="J11" s="43" t="s">
        <v>54</v>
      </c>
      <c r="K11" s="45">
        <v>8.66</v>
      </c>
      <c r="L11" s="43">
        <v>1.3</v>
      </c>
      <c r="M11" s="45">
        <v>11.0</v>
      </c>
      <c r="N11" s="43" t="s">
        <v>54</v>
      </c>
      <c r="O11" s="43" t="s">
        <v>54</v>
      </c>
      <c r="P11" s="43">
        <v>112.0</v>
      </c>
      <c r="Q11" s="43" t="s">
        <v>54</v>
      </c>
      <c r="R11" s="43" t="s">
        <v>54</v>
      </c>
      <c r="S11" s="43" t="s">
        <v>54</v>
      </c>
      <c r="T11" s="43" t="s">
        <v>54</v>
      </c>
      <c r="U11" s="43" t="s">
        <v>54</v>
      </c>
      <c r="V11" s="43" t="s">
        <v>54</v>
      </c>
      <c r="W11" s="43" t="s">
        <v>54</v>
      </c>
      <c r="X11" s="43" t="s">
        <v>54</v>
      </c>
      <c r="Y11" s="43" t="s">
        <v>54</v>
      </c>
      <c r="Z11" s="43" t="s">
        <v>54</v>
      </c>
      <c r="AA11" s="43" t="s">
        <v>54</v>
      </c>
      <c r="AB11" s="43" t="s">
        <v>54</v>
      </c>
      <c r="AC11" s="46" t="s">
        <v>54</v>
      </c>
      <c r="AD11" s="46" t="s">
        <v>54</v>
      </c>
      <c r="AE11" s="46" t="s">
        <v>54</v>
      </c>
    </row>
    <row r="12" spans="1:32" customHeight="1" ht="15.75" s="14" customFormat="1">
      <c r="B12" s="43" t="s">
        <v>55</v>
      </c>
      <c r="C12" s="43">
        <v>752728.0</v>
      </c>
      <c r="D12" s="43">
        <v>9053100.0</v>
      </c>
      <c r="E12" s="43" t="s">
        <v>56</v>
      </c>
      <c r="F12" s="44" t="s">
        <v>57</v>
      </c>
      <c r="G12" s="43" t="s">
        <v>54</v>
      </c>
      <c r="H12" s="43" t="s">
        <v>54</v>
      </c>
      <c r="I12" s="43" t="s">
        <v>54</v>
      </c>
      <c r="J12" s="43" t="s">
        <v>54</v>
      </c>
      <c r="K12" s="43">
        <v>2.58</v>
      </c>
      <c r="L12" s="43">
        <v>3.5</v>
      </c>
      <c r="M12" s="45">
        <v>4.0</v>
      </c>
      <c r="N12" s="43" t="s">
        <v>54</v>
      </c>
      <c r="O12" s="43" t="s">
        <v>54</v>
      </c>
      <c r="P12" s="43">
        <v>108.0</v>
      </c>
      <c r="Q12" s="43" t="s">
        <v>54</v>
      </c>
      <c r="R12" s="43" t="s">
        <v>54</v>
      </c>
      <c r="S12" s="43" t="s">
        <v>54</v>
      </c>
      <c r="T12" s="43" t="s">
        <v>54</v>
      </c>
      <c r="U12" s="43" t="s">
        <v>54</v>
      </c>
      <c r="V12" s="43" t="s">
        <v>54</v>
      </c>
      <c r="W12" s="43" t="s">
        <v>54</v>
      </c>
      <c r="X12" s="43" t="s">
        <v>54</v>
      </c>
      <c r="Y12" s="43" t="s">
        <v>54</v>
      </c>
      <c r="Z12" s="43" t="s">
        <v>54</v>
      </c>
      <c r="AA12" s="43" t="s">
        <v>54</v>
      </c>
      <c r="AB12" s="43" t="s">
        <v>54</v>
      </c>
      <c r="AC12" s="46" t="s">
        <v>54</v>
      </c>
      <c r="AD12" s="46" t="s">
        <v>54</v>
      </c>
      <c r="AE12" s="46" t="s">
        <v>54</v>
      </c>
    </row>
    <row r="13" spans="1:32" customHeight="1" ht="15.75" s="14" customFormat="1">
      <c r="B13" s="43" t="s">
        <v>58</v>
      </c>
      <c r="C13" s="43">
        <v>751965.0</v>
      </c>
      <c r="D13" s="43">
        <v>9050710.0</v>
      </c>
      <c r="E13" s="43" t="s">
        <v>59</v>
      </c>
      <c r="F13" s="44" t="s">
        <v>60</v>
      </c>
      <c r="G13" s="43" t="s">
        <v>54</v>
      </c>
      <c r="H13" s="43" t="s">
        <v>54</v>
      </c>
      <c r="I13" s="43" t="s">
        <v>54</v>
      </c>
      <c r="J13" s="43" t="s">
        <v>54</v>
      </c>
      <c r="K13" s="43">
        <v>3.91</v>
      </c>
      <c r="L13" s="43">
        <v>10.3</v>
      </c>
      <c r="M13" s="43">
        <v>1.0</v>
      </c>
      <c r="N13" s="43" t="s">
        <v>54</v>
      </c>
      <c r="O13" s="43" t="s">
        <v>54</v>
      </c>
      <c r="P13" s="43">
        <v>137.0</v>
      </c>
      <c r="Q13" s="43" t="s">
        <v>54</v>
      </c>
      <c r="R13" s="43" t="s">
        <v>54</v>
      </c>
      <c r="S13" s="43" t="s">
        <v>54</v>
      </c>
      <c r="T13" s="43" t="s">
        <v>54</v>
      </c>
      <c r="U13" s="43" t="s">
        <v>54</v>
      </c>
      <c r="V13" s="43" t="s">
        <v>54</v>
      </c>
      <c r="W13" s="43" t="s">
        <v>54</v>
      </c>
      <c r="X13" s="43" t="s">
        <v>54</v>
      </c>
      <c r="Y13" s="43" t="s">
        <v>54</v>
      </c>
      <c r="Z13" s="43" t="s">
        <v>54</v>
      </c>
      <c r="AA13" s="43" t="s">
        <v>54</v>
      </c>
      <c r="AB13" s="43" t="s">
        <v>54</v>
      </c>
      <c r="AC13" s="46" t="s">
        <v>54</v>
      </c>
      <c r="AD13" s="46" t="s">
        <v>54</v>
      </c>
      <c r="AE13" s="46" t="s">
        <v>54</v>
      </c>
    </row>
    <row r="14" spans="1:32" customHeight="1" ht="15.75" s="14" customFormat="1">
      <c r="B14" s="43" t="s">
        <v>61</v>
      </c>
      <c r="C14" s="43">
        <v>750230.0</v>
      </c>
      <c r="D14" s="43">
        <v>9050980.0</v>
      </c>
      <c r="E14" s="43" t="s">
        <v>62</v>
      </c>
      <c r="F14" s="44" t="s">
        <v>63</v>
      </c>
      <c r="G14" s="43" t="s">
        <v>54</v>
      </c>
      <c r="H14" s="43" t="s">
        <v>54</v>
      </c>
      <c r="I14" s="43" t="s">
        <v>54</v>
      </c>
      <c r="J14" s="43" t="s">
        <v>54</v>
      </c>
      <c r="K14" s="43">
        <v>1.37</v>
      </c>
      <c r="L14" s="43">
        <v>3.7</v>
      </c>
      <c r="M14" s="45">
        <v>5.0</v>
      </c>
      <c r="N14" s="43" t="s">
        <v>54</v>
      </c>
      <c r="O14" s="43" t="s">
        <v>54</v>
      </c>
      <c r="P14" s="43">
        <v>135.0</v>
      </c>
      <c r="Q14" s="43" t="s">
        <v>54</v>
      </c>
      <c r="R14" s="43" t="s">
        <v>54</v>
      </c>
      <c r="S14" s="43" t="s">
        <v>54</v>
      </c>
      <c r="T14" s="43" t="s">
        <v>54</v>
      </c>
      <c r="U14" s="43" t="s">
        <v>54</v>
      </c>
      <c r="V14" s="43" t="s">
        <v>54</v>
      </c>
      <c r="W14" s="43" t="s">
        <v>54</v>
      </c>
      <c r="X14" s="43" t="s">
        <v>54</v>
      </c>
      <c r="Y14" s="43" t="s">
        <v>54</v>
      </c>
      <c r="Z14" s="43" t="s">
        <v>54</v>
      </c>
      <c r="AA14" s="43" t="s">
        <v>54</v>
      </c>
      <c r="AB14" s="43" t="s">
        <v>54</v>
      </c>
      <c r="AC14" s="46" t="s">
        <v>54</v>
      </c>
      <c r="AD14" s="46" t="s">
        <v>54</v>
      </c>
      <c r="AE14" s="46" t="s">
        <v>54</v>
      </c>
    </row>
    <row r="15" spans="1:32" customHeight="1" ht="15.75" s="14" customFormat="1">
      <c r="B15" s="43" t="s">
        <v>64</v>
      </c>
      <c r="C15" s="43">
        <v>751325.0</v>
      </c>
      <c r="D15" s="43">
        <v>9049310.0</v>
      </c>
      <c r="E15" s="43" t="s">
        <v>65</v>
      </c>
      <c r="F15" s="44" t="s">
        <v>66</v>
      </c>
      <c r="G15" s="43" t="s">
        <v>54</v>
      </c>
      <c r="H15" s="43" t="s">
        <v>54</v>
      </c>
      <c r="I15" s="43" t="s">
        <v>54</v>
      </c>
      <c r="J15" s="43" t="s">
        <v>54</v>
      </c>
      <c r="K15" s="43">
        <v>3.36</v>
      </c>
      <c r="L15" s="43">
        <v>1.6</v>
      </c>
      <c r="M15" s="45">
        <v>4.0</v>
      </c>
      <c r="N15" s="43" t="s">
        <v>54</v>
      </c>
      <c r="O15" s="43" t="s">
        <v>54</v>
      </c>
      <c r="P15" s="43">
        <v>106.0</v>
      </c>
      <c r="Q15" s="43" t="s">
        <v>54</v>
      </c>
      <c r="R15" s="43" t="s">
        <v>54</v>
      </c>
      <c r="S15" s="43" t="s">
        <v>54</v>
      </c>
      <c r="T15" s="43" t="s">
        <v>54</v>
      </c>
      <c r="U15" s="43" t="s">
        <v>54</v>
      </c>
      <c r="V15" s="43" t="s">
        <v>54</v>
      </c>
      <c r="W15" s="43" t="s">
        <v>54</v>
      </c>
      <c r="X15" s="43" t="s">
        <v>54</v>
      </c>
      <c r="Y15" s="43" t="s">
        <v>54</v>
      </c>
      <c r="Z15" s="43" t="s">
        <v>54</v>
      </c>
      <c r="AA15" s="43" t="s">
        <v>54</v>
      </c>
      <c r="AB15" s="43" t="s">
        <v>54</v>
      </c>
      <c r="AC15" s="46" t="s">
        <v>54</v>
      </c>
      <c r="AD15" s="46" t="s">
        <v>54</v>
      </c>
      <c r="AE15" s="46" t="s">
        <v>54</v>
      </c>
    </row>
    <row r="16" spans="1:32" customHeight="1" ht="15.75" s="13" customFormat="1">
      <c r="B16" s="43" t="s">
        <v>67</v>
      </c>
      <c r="C16" s="43">
        <v>750582.0</v>
      </c>
      <c r="D16" s="43">
        <v>9048210.0</v>
      </c>
      <c r="E16" s="43" t="s">
        <v>68</v>
      </c>
      <c r="F16" s="44" t="s">
        <v>69</v>
      </c>
      <c r="G16" s="43" t="s">
        <v>54</v>
      </c>
      <c r="H16" s="43" t="s">
        <v>54</v>
      </c>
      <c r="I16" s="43" t="s">
        <v>54</v>
      </c>
      <c r="J16" s="43" t="s">
        <v>54</v>
      </c>
      <c r="K16" s="45">
        <v>23.3</v>
      </c>
      <c r="L16" s="43">
        <v>11.0</v>
      </c>
      <c r="M16" s="45">
        <v>32.0</v>
      </c>
      <c r="N16" s="43" t="s">
        <v>54</v>
      </c>
      <c r="O16" s="43" t="s">
        <v>54</v>
      </c>
      <c r="P16" s="43">
        <v>250.0</v>
      </c>
      <c r="Q16" s="43" t="s">
        <v>54</v>
      </c>
      <c r="R16" s="43" t="s">
        <v>54</v>
      </c>
      <c r="S16" s="43" t="s">
        <v>54</v>
      </c>
      <c r="T16" s="43" t="s">
        <v>54</v>
      </c>
      <c r="U16" s="43" t="s">
        <v>54</v>
      </c>
      <c r="V16" s="43" t="s">
        <v>54</v>
      </c>
      <c r="W16" s="43" t="s">
        <v>54</v>
      </c>
      <c r="X16" s="43" t="s">
        <v>54</v>
      </c>
      <c r="Y16" s="43" t="s">
        <v>54</v>
      </c>
      <c r="Z16" s="43" t="s">
        <v>54</v>
      </c>
      <c r="AA16" s="43" t="s">
        <v>54</v>
      </c>
      <c r="AB16" s="43" t="s">
        <v>54</v>
      </c>
      <c r="AC16" s="46" t="s">
        <v>54</v>
      </c>
      <c r="AD16" s="46" t="s">
        <v>54</v>
      </c>
      <c r="AE16" s="46" t="s">
        <v>54</v>
      </c>
    </row>
    <row r="17" spans="1:32" customHeight="1" ht="15.75" s="14" customFormat="1">
      <c r="B17" s="43" t="s">
        <v>70</v>
      </c>
      <c r="C17" s="43">
        <v>749902.0</v>
      </c>
      <c r="D17" s="43">
        <v>9048630.0</v>
      </c>
      <c r="E17" s="43" t="s">
        <v>71</v>
      </c>
      <c r="F17" s="44" t="s">
        <v>72</v>
      </c>
      <c r="G17" s="43" t="s">
        <v>54</v>
      </c>
      <c r="H17" s="43" t="s">
        <v>54</v>
      </c>
      <c r="I17" s="43" t="s">
        <v>54</v>
      </c>
      <c r="J17" s="43" t="s">
        <v>54</v>
      </c>
      <c r="K17" s="45">
        <v>13.1</v>
      </c>
      <c r="L17" s="43">
        <v>1.5</v>
      </c>
      <c r="M17" s="45">
        <v>7.0</v>
      </c>
      <c r="N17" s="43" t="s">
        <v>54</v>
      </c>
      <c r="O17" s="43" t="s">
        <v>54</v>
      </c>
      <c r="P17" s="43">
        <v>129.0</v>
      </c>
      <c r="Q17" s="43" t="s">
        <v>54</v>
      </c>
      <c r="R17" s="43" t="s">
        <v>54</v>
      </c>
      <c r="S17" s="43" t="s">
        <v>54</v>
      </c>
      <c r="T17" s="43" t="s">
        <v>54</v>
      </c>
      <c r="U17" s="43" t="s">
        <v>54</v>
      </c>
      <c r="V17" s="43" t="s">
        <v>54</v>
      </c>
      <c r="W17" s="43" t="s">
        <v>54</v>
      </c>
      <c r="X17" s="43" t="s">
        <v>54</v>
      </c>
      <c r="Y17" s="43" t="s">
        <v>54</v>
      </c>
      <c r="Z17" s="43" t="s">
        <v>54</v>
      </c>
      <c r="AA17" s="43" t="s">
        <v>54</v>
      </c>
      <c r="AB17" s="43" t="s">
        <v>54</v>
      </c>
      <c r="AC17" s="46" t="s">
        <v>54</v>
      </c>
      <c r="AD17" s="46" t="s">
        <v>54</v>
      </c>
      <c r="AE17" s="46" t="s">
        <v>54</v>
      </c>
    </row>
    <row r="18" spans="1:32" customHeight="1" ht="15.75" s="13" customFormat="1">
      <c r="B18" s="43" t="s">
        <v>73</v>
      </c>
      <c r="C18" s="43" t="s">
        <v>54</v>
      </c>
      <c r="D18" s="43" t="s">
        <v>54</v>
      </c>
      <c r="E18" s="43" t="s">
        <v>54</v>
      </c>
      <c r="F18" s="44" t="s">
        <v>54</v>
      </c>
      <c r="G18" s="43" t="s">
        <v>54</v>
      </c>
      <c r="H18" s="43" t="s">
        <v>54</v>
      </c>
      <c r="I18" s="43" t="s">
        <v>54</v>
      </c>
      <c r="J18" s="43" t="s">
        <v>54</v>
      </c>
      <c r="K18" s="43" t="s">
        <v>54</v>
      </c>
      <c r="L18" s="43" t="s">
        <v>54</v>
      </c>
      <c r="M18" s="43" t="s">
        <v>54</v>
      </c>
      <c r="N18" s="43" t="s">
        <v>54</v>
      </c>
      <c r="O18" s="43" t="s">
        <v>54</v>
      </c>
      <c r="P18" s="43" t="s">
        <v>54</v>
      </c>
      <c r="Q18" s="43" t="s">
        <v>54</v>
      </c>
      <c r="R18" s="43" t="s">
        <v>54</v>
      </c>
      <c r="S18" s="43" t="s">
        <v>54</v>
      </c>
      <c r="T18" s="43" t="s">
        <v>54</v>
      </c>
      <c r="U18" s="43" t="s">
        <v>54</v>
      </c>
      <c r="V18" s="43" t="s">
        <v>54</v>
      </c>
      <c r="W18" s="43" t="s">
        <v>54</v>
      </c>
      <c r="X18" s="43" t="s">
        <v>54</v>
      </c>
      <c r="Y18" s="43" t="s">
        <v>54</v>
      </c>
      <c r="Z18" s="43" t="s">
        <v>54</v>
      </c>
      <c r="AA18" s="43" t="s">
        <v>54</v>
      </c>
      <c r="AB18" s="43" t="s">
        <v>54</v>
      </c>
      <c r="AC18" s="46" t="s">
        <v>54</v>
      </c>
      <c r="AD18" s="46" t="s">
        <v>54</v>
      </c>
      <c r="AE18" s="46" t="s">
        <v>54</v>
      </c>
    </row>
    <row r="19" spans="1:32" customHeight="1" ht="15.75" s="13" customFormat="1">
      <c r="B19" s="43" t="s">
        <v>74</v>
      </c>
      <c r="C19" s="43" t="s">
        <v>54</v>
      </c>
      <c r="D19" s="43" t="s">
        <v>54</v>
      </c>
      <c r="E19" s="43" t="s">
        <v>54</v>
      </c>
      <c r="F19" s="44" t="s">
        <v>54</v>
      </c>
      <c r="G19" s="43" t="s">
        <v>54</v>
      </c>
      <c r="H19" s="43" t="s">
        <v>54</v>
      </c>
      <c r="I19" s="43" t="s">
        <v>54</v>
      </c>
      <c r="J19" s="43" t="s">
        <v>54</v>
      </c>
      <c r="K19" s="43" t="s">
        <v>54</v>
      </c>
      <c r="L19" s="43" t="s">
        <v>54</v>
      </c>
      <c r="M19" s="43" t="s">
        <v>54</v>
      </c>
      <c r="N19" s="43" t="s">
        <v>54</v>
      </c>
      <c r="O19" s="43" t="s">
        <v>54</v>
      </c>
      <c r="P19" s="43" t="s">
        <v>54</v>
      </c>
      <c r="Q19" s="43" t="s">
        <v>54</v>
      </c>
      <c r="R19" s="43" t="s">
        <v>54</v>
      </c>
      <c r="S19" s="43" t="s">
        <v>54</v>
      </c>
      <c r="T19" s="43" t="s">
        <v>54</v>
      </c>
      <c r="U19" s="43" t="s">
        <v>54</v>
      </c>
      <c r="V19" s="43" t="s">
        <v>54</v>
      </c>
      <c r="W19" s="43" t="s">
        <v>54</v>
      </c>
      <c r="X19" s="43" t="s">
        <v>54</v>
      </c>
      <c r="Y19" s="43" t="s">
        <v>54</v>
      </c>
      <c r="Z19" s="43" t="s">
        <v>54</v>
      </c>
      <c r="AA19" s="43" t="s">
        <v>54</v>
      </c>
      <c r="AB19" s="43" t="s">
        <v>54</v>
      </c>
      <c r="AC19" s="46" t="s">
        <v>54</v>
      </c>
      <c r="AD19" s="46" t="s">
        <v>54</v>
      </c>
      <c r="AE19" s="46" t="s">
        <v>54</v>
      </c>
    </row>
    <row r="20" spans="1:32" customHeight="1" ht="15.75" s="13" customFormat="1">
      <c r="B20" s="43" t="s">
        <v>75</v>
      </c>
      <c r="C20" s="43" t="s">
        <v>54</v>
      </c>
      <c r="D20" s="43" t="s">
        <v>54</v>
      </c>
      <c r="E20" s="43" t="s">
        <v>54</v>
      </c>
      <c r="F20" s="44" t="s">
        <v>54</v>
      </c>
      <c r="G20" s="43" t="s">
        <v>54</v>
      </c>
      <c r="H20" s="43" t="s">
        <v>54</v>
      </c>
      <c r="I20" s="43" t="s">
        <v>54</v>
      </c>
      <c r="J20" s="43" t="s">
        <v>54</v>
      </c>
      <c r="K20" s="43" t="s">
        <v>54</v>
      </c>
      <c r="L20" s="43" t="s">
        <v>54</v>
      </c>
      <c r="M20" s="43" t="s">
        <v>54</v>
      </c>
      <c r="N20" s="43" t="s">
        <v>54</v>
      </c>
      <c r="O20" s="43" t="s">
        <v>54</v>
      </c>
      <c r="P20" s="43" t="s">
        <v>54</v>
      </c>
      <c r="Q20" s="43" t="s">
        <v>54</v>
      </c>
      <c r="R20" s="43" t="s">
        <v>54</v>
      </c>
      <c r="S20" s="43" t="s">
        <v>54</v>
      </c>
      <c r="T20" s="43" t="s">
        <v>54</v>
      </c>
      <c r="U20" s="43" t="s">
        <v>54</v>
      </c>
      <c r="V20" s="43" t="s">
        <v>54</v>
      </c>
      <c r="W20" s="43" t="s">
        <v>54</v>
      </c>
      <c r="X20" s="43" t="s">
        <v>54</v>
      </c>
      <c r="Y20" s="43" t="s">
        <v>54</v>
      </c>
      <c r="Z20" s="43" t="s">
        <v>54</v>
      </c>
      <c r="AA20" s="43" t="s">
        <v>54</v>
      </c>
      <c r="AB20" s="43" t="s">
        <v>54</v>
      </c>
      <c r="AC20" s="46" t="s">
        <v>54</v>
      </c>
      <c r="AD20" s="46" t="s">
        <v>54</v>
      </c>
      <c r="AE20" s="46" t="s">
        <v>54</v>
      </c>
    </row>
    <row r="21" spans="1:32" customHeight="1" ht="15.75" s="13" customFormat="1">
      <c r="B21" s="43" t="s">
        <v>76</v>
      </c>
      <c r="C21" s="43" t="s">
        <v>54</v>
      </c>
      <c r="D21" s="43" t="s">
        <v>54</v>
      </c>
      <c r="E21" s="43" t="s">
        <v>54</v>
      </c>
      <c r="F21" s="44" t="s">
        <v>54</v>
      </c>
      <c r="G21" s="43" t="s">
        <v>54</v>
      </c>
      <c r="H21" s="43" t="s">
        <v>54</v>
      </c>
      <c r="I21" s="43" t="s">
        <v>54</v>
      </c>
      <c r="J21" s="43" t="s">
        <v>54</v>
      </c>
      <c r="K21" s="43" t="s">
        <v>54</v>
      </c>
      <c r="L21" s="43" t="s">
        <v>54</v>
      </c>
      <c r="M21" s="43" t="s">
        <v>54</v>
      </c>
      <c r="N21" s="43" t="s">
        <v>54</v>
      </c>
      <c r="O21" s="43" t="s">
        <v>54</v>
      </c>
      <c r="P21" s="43" t="s">
        <v>54</v>
      </c>
      <c r="Q21" s="43" t="s">
        <v>54</v>
      </c>
      <c r="R21" s="43" t="s">
        <v>54</v>
      </c>
      <c r="S21" s="43" t="s">
        <v>54</v>
      </c>
      <c r="T21" s="43" t="s">
        <v>54</v>
      </c>
      <c r="U21" s="43" t="s">
        <v>54</v>
      </c>
      <c r="V21" s="43" t="s">
        <v>54</v>
      </c>
      <c r="W21" s="43" t="s">
        <v>54</v>
      </c>
      <c r="X21" s="43" t="s">
        <v>54</v>
      </c>
      <c r="Y21" s="43" t="s">
        <v>54</v>
      </c>
      <c r="Z21" s="43" t="s">
        <v>54</v>
      </c>
      <c r="AA21" s="43" t="s">
        <v>54</v>
      </c>
      <c r="AB21" s="43" t="s">
        <v>54</v>
      </c>
      <c r="AC21" s="46" t="s">
        <v>54</v>
      </c>
      <c r="AD21" s="46" t="s">
        <v>54</v>
      </c>
      <c r="AE21" s="46" t="s">
        <v>54</v>
      </c>
    </row>
    <row r="22" spans="1:32" customHeight="1" ht="15.75" s="14" customFormat="1">
      <c r="B22" s="43" t="s">
        <v>77</v>
      </c>
      <c r="C22" s="43" t="s">
        <v>54</v>
      </c>
      <c r="D22" s="43" t="s">
        <v>54</v>
      </c>
      <c r="E22" s="43" t="s">
        <v>54</v>
      </c>
      <c r="F22" s="44" t="s">
        <v>54</v>
      </c>
      <c r="G22" s="43" t="s">
        <v>54</v>
      </c>
      <c r="H22" s="43" t="s">
        <v>54</v>
      </c>
      <c r="I22" s="43" t="s">
        <v>54</v>
      </c>
      <c r="J22" s="43" t="s">
        <v>54</v>
      </c>
      <c r="K22" s="43" t="s">
        <v>54</v>
      </c>
      <c r="L22" s="43" t="s">
        <v>54</v>
      </c>
      <c r="M22" s="43" t="s">
        <v>54</v>
      </c>
      <c r="N22" s="43" t="s">
        <v>54</v>
      </c>
      <c r="O22" s="43" t="s">
        <v>54</v>
      </c>
      <c r="P22" s="43" t="s">
        <v>54</v>
      </c>
      <c r="Q22" s="43" t="s">
        <v>54</v>
      </c>
      <c r="R22" s="43" t="s">
        <v>54</v>
      </c>
      <c r="S22" s="43" t="s">
        <v>54</v>
      </c>
      <c r="T22" s="43" t="s">
        <v>54</v>
      </c>
      <c r="U22" s="43" t="s">
        <v>54</v>
      </c>
      <c r="V22" s="43" t="s">
        <v>54</v>
      </c>
      <c r="W22" s="43" t="s">
        <v>54</v>
      </c>
      <c r="X22" s="43" t="s">
        <v>54</v>
      </c>
      <c r="Y22" s="43" t="s">
        <v>54</v>
      </c>
      <c r="Z22" s="43" t="s">
        <v>54</v>
      </c>
      <c r="AA22" s="43" t="s">
        <v>54</v>
      </c>
      <c r="AB22" s="43" t="s">
        <v>54</v>
      </c>
      <c r="AC22" s="46" t="s">
        <v>54</v>
      </c>
      <c r="AD22" s="46" t="s">
        <v>54</v>
      </c>
      <c r="AE22" s="46" t="s">
        <v>54</v>
      </c>
    </row>
    <row r="23" spans="1:32" customHeight="1" ht="15.75" s="13" customFormat="1">
      <c r="B23" s="43" t="s">
        <v>78</v>
      </c>
      <c r="C23" s="43" t="s">
        <v>54</v>
      </c>
      <c r="D23" s="43" t="s">
        <v>54</v>
      </c>
      <c r="E23" s="43" t="s">
        <v>54</v>
      </c>
      <c r="F23" s="44" t="s">
        <v>54</v>
      </c>
      <c r="G23" s="43" t="s">
        <v>54</v>
      </c>
      <c r="H23" s="43" t="s">
        <v>54</v>
      </c>
      <c r="I23" s="43" t="s">
        <v>54</v>
      </c>
      <c r="J23" s="43" t="s">
        <v>54</v>
      </c>
      <c r="K23" s="43" t="s">
        <v>54</v>
      </c>
      <c r="L23" s="43" t="s">
        <v>54</v>
      </c>
      <c r="M23" s="43" t="s">
        <v>54</v>
      </c>
      <c r="N23" s="43" t="s">
        <v>54</v>
      </c>
      <c r="O23" s="43" t="s">
        <v>54</v>
      </c>
      <c r="P23" s="43" t="s">
        <v>54</v>
      </c>
      <c r="Q23" s="43" t="s">
        <v>54</v>
      </c>
      <c r="R23" s="43" t="s">
        <v>54</v>
      </c>
      <c r="S23" s="43" t="s">
        <v>54</v>
      </c>
      <c r="T23" s="43" t="s">
        <v>54</v>
      </c>
      <c r="U23" s="43" t="s">
        <v>54</v>
      </c>
      <c r="V23" s="43" t="s">
        <v>54</v>
      </c>
      <c r="W23" s="43" t="s">
        <v>54</v>
      </c>
      <c r="X23" s="43" t="s">
        <v>54</v>
      </c>
      <c r="Y23" s="43" t="s">
        <v>54</v>
      </c>
      <c r="Z23" s="43" t="s">
        <v>54</v>
      </c>
      <c r="AA23" s="43" t="s">
        <v>54</v>
      </c>
      <c r="AB23" s="43" t="s">
        <v>54</v>
      </c>
      <c r="AC23" s="46" t="s">
        <v>54</v>
      </c>
      <c r="AD23" s="46" t="s">
        <v>54</v>
      </c>
      <c r="AE23" s="46" t="s">
        <v>54</v>
      </c>
    </row>
    <row r="24" spans="1:32" customHeight="1" ht="15.75" s="14" customFormat="1">
      <c r="B24" s="43" t="s">
        <v>79</v>
      </c>
      <c r="C24" s="43">
        <v>754472.0</v>
      </c>
      <c r="D24" s="43">
        <v>9053260.0</v>
      </c>
      <c r="E24" s="43" t="s">
        <v>80</v>
      </c>
      <c r="F24" s="44" t="s">
        <v>81</v>
      </c>
      <c r="G24" s="43" t="s">
        <v>54</v>
      </c>
      <c r="H24" s="43" t="s">
        <v>54</v>
      </c>
      <c r="I24" s="43" t="s">
        <v>54</v>
      </c>
      <c r="J24" s="43" t="s">
        <v>54</v>
      </c>
      <c r="K24" s="43" t="s">
        <v>54</v>
      </c>
      <c r="L24" s="43" t="s">
        <v>54</v>
      </c>
      <c r="M24" s="43" t="s">
        <v>54</v>
      </c>
      <c r="N24" s="43" t="s">
        <v>54</v>
      </c>
      <c r="O24" s="43" t="s">
        <v>54</v>
      </c>
      <c r="P24" s="43" t="s">
        <v>54</v>
      </c>
      <c r="Q24" s="43" t="s">
        <v>54</v>
      </c>
      <c r="R24" s="43" t="s">
        <v>54</v>
      </c>
      <c r="S24" s="43" t="s">
        <v>54</v>
      </c>
      <c r="T24" s="43" t="s">
        <v>54</v>
      </c>
      <c r="U24" s="43" t="s">
        <v>54</v>
      </c>
      <c r="V24" s="43" t="s">
        <v>54</v>
      </c>
      <c r="W24" s="43" t="s">
        <v>54</v>
      </c>
      <c r="X24" s="43" t="s">
        <v>54</v>
      </c>
      <c r="Y24" s="43" t="s">
        <v>54</v>
      </c>
      <c r="Z24" s="43" t="s">
        <v>54</v>
      </c>
      <c r="AA24" s="43" t="s">
        <v>54</v>
      </c>
      <c r="AB24" s="43" t="s">
        <v>54</v>
      </c>
      <c r="AC24" s="46" t="s">
        <v>54</v>
      </c>
      <c r="AD24" s="46" t="s">
        <v>54</v>
      </c>
      <c r="AE24" s="46" t="s">
        <v>54</v>
      </c>
    </row>
    <row r="25" spans="1:32" customHeight="1" ht="15.75" s="13" customFormat="1">
      <c r="B25" s="43" t="s">
        <v>82</v>
      </c>
      <c r="C25" s="43">
        <v>754354.0</v>
      </c>
      <c r="D25" s="43">
        <v>9052240.0</v>
      </c>
      <c r="E25" s="43" t="s">
        <v>83</v>
      </c>
      <c r="F25" s="44" t="s">
        <v>84</v>
      </c>
      <c r="G25" s="43" t="s">
        <v>54</v>
      </c>
      <c r="H25" s="43" t="s">
        <v>54</v>
      </c>
      <c r="I25" s="43" t="s">
        <v>54</v>
      </c>
      <c r="J25" s="43" t="s">
        <v>54</v>
      </c>
      <c r="K25" s="43" t="s">
        <v>54</v>
      </c>
      <c r="L25" s="43" t="s">
        <v>54</v>
      </c>
      <c r="M25" s="43" t="s">
        <v>54</v>
      </c>
      <c r="N25" s="43" t="s">
        <v>54</v>
      </c>
      <c r="O25" s="43" t="s">
        <v>54</v>
      </c>
      <c r="P25" s="43" t="s">
        <v>54</v>
      </c>
      <c r="Q25" s="43" t="s">
        <v>54</v>
      </c>
      <c r="R25" s="43" t="s">
        <v>54</v>
      </c>
      <c r="S25" s="43" t="s">
        <v>54</v>
      </c>
      <c r="T25" s="43" t="s">
        <v>54</v>
      </c>
      <c r="U25" s="43" t="s">
        <v>54</v>
      </c>
      <c r="V25" s="43" t="s">
        <v>54</v>
      </c>
      <c r="W25" s="43" t="s">
        <v>54</v>
      </c>
      <c r="X25" s="43" t="s">
        <v>54</v>
      </c>
      <c r="Y25" s="43" t="s">
        <v>54</v>
      </c>
      <c r="Z25" s="43" t="s">
        <v>54</v>
      </c>
      <c r="AA25" s="43" t="s">
        <v>54</v>
      </c>
      <c r="AB25" s="43" t="s">
        <v>54</v>
      </c>
      <c r="AC25" s="46" t="s">
        <v>54</v>
      </c>
      <c r="AD25" s="46" t="s">
        <v>54</v>
      </c>
      <c r="AE25" s="46" t="s">
        <v>54</v>
      </c>
    </row>
    <row r="26" spans="1:32" customHeight="1" ht="15.75" s="13" customFormat="1">
      <c r="B26" s="43" t="s">
        <v>85</v>
      </c>
      <c r="C26" s="43">
        <v>753004.0</v>
      </c>
      <c r="D26" s="43">
        <v>9050640.0</v>
      </c>
      <c r="E26" s="43" t="s">
        <v>86</v>
      </c>
      <c r="F26" s="44" t="s">
        <v>87</v>
      </c>
      <c r="G26" s="43" t="s">
        <v>54</v>
      </c>
      <c r="H26" s="43" t="s">
        <v>54</v>
      </c>
      <c r="I26" s="43" t="s">
        <v>54</v>
      </c>
      <c r="J26" s="43" t="s">
        <v>54</v>
      </c>
      <c r="K26" s="43" t="s">
        <v>54</v>
      </c>
      <c r="L26" s="43" t="s">
        <v>54</v>
      </c>
      <c r="M26" s="43" t="s">
        <v>54</v>
      </c>
      <c r="N26" s="43" t="s">
        <v>54</v>
      </c>
      <c r="O26" s="43" t="s">
        <v>54</v>
      </c>
      <c r="P26" s="43" t="s">
        <v>54</v>
      </c>
      <c r="Q26" s="43" t="s">
        <v>54</v>
      </c>
      <c r="R26" s="43" t="s">
        <v>54</v>
      </c>
      <c r="S26" s="43" t="s">
        <v>54</v>
      </c>
      <c r="T26" s="43" t="s">
        <v>54</v>
      </c>
      <c r="U26" s="43" t="s">
        <v>54</v>
      </c>
      <c r="V26" s="43" t="s">
        <v>54</v>
      </c>
      <c r="W26" s="43" t="s">
        <v>54</v>
      </c>
      <c r="X26" s="43" t="s">
        <v>54</v>
      </c>
      <c r="Y26" s="43" t="s">
        <v>54</v>
      </c>
      <c r="Z26" s="43" t="s">
        <v>54</v>
      </c>
      <c r="AA26" s="43" t="s">
        <v>54</v>
      </c>
      <c r="AB26" s="43" t="s">
        <v>54</v>
      </c>
      <c r="AC26" s="46" t="s">
        <v>54</v>
      </c>
      <c r="AD26" s="46" t="s">
        <v>54</v>
      </c>
      <c r="AE26" s="46" t="s">
        <v>54</v>
      </c>
    </row>
    <row r="27" spans="1:32" customHeight="1" ht="15.75" s="14" customFormat="1">
      <c r="B27" s="43" t="s">
        <v>88</v>
      </c>
      <c r="C27" s="43" t="s">
        <v>54</v>
      </c>
      <c r="D27" s="43" t="s">
        <v>54</v>
      </c>
      <c r="E27" s="43" t="s">
        <v>54</v>
      </c>
      <c r="F27" s="44" t="s">
        <v>54</v>
      </c>
      <c r="G27" s="43" t="s">
        <v>54</v>
      </c>
      <c r="H27" s="43" t="s">
        <v>54</v>
      </c>
      <c r="I27" s="43" t="s">
        <v>54</v>
      </c>
      <c r="J27" s="43" t="s">
        <v>54</v>
      </c>
      <c r="K27" s="43" t="s">
        <v>54</v>
      </c>
      <c r="L27" s="43" t="s">
        <v>54</v>
      </c>
      <c r="M27" s="43" t="s">
        <v>54</v>
      </c>
      <c r="N27" s="43" t="s">
        <v>54</v>
      </c>
      <c r="O27" s="43" t="s">
        <v>54</v>
      </c>
      <c r="P27" s="43" t="s">
        <v>54</v>
      </c>
      <c r="Q27" s="43" t="s">
        <v>54</v>
      </c>
      <c r="R27" s="43" t="s">
        <v>54</v>
      </c>
      <c r="S27" s="43" t="s">
        <v>54</v>
      </c>
      <c r="T27" s="43" t="s">
        <v>54</v>
      </c>
      <c r="U27" s="43" t="s">
        <v>54</v>
      </c>
      <c r="V27" s="43" t="s">
        <v>54</v>
      </c>
      <c r="W27" s="43" t="s">
        <v>54</v>
      </c>
      <c r="X27" s="43" t="s">
        <v>54</v>
      </c>
      <c r="Y27" s="43" t="s">
        <v>54</v>
      </c>
      <c r="Z27" s="43" t="s">
        <v>54</v>
      </c>
      <c r="AA27" s="43" t="s">
        <v>54</v>
      </c>
      <c r="AB27" s="43" t="s">
        <v>54</v>
      </c>
      <c r="AC27" s="46" t="s">
        <v>54</v>
      </c>
      <c r="AD27" s="46" t="s">
        <v>54</v>
      </c>
      <c r="AE27" s="46" t="s">
        <v>54</v>
      </c>
    </row>
    <row r="28" spans="1:32" customHeight="1" ht="15.75" s="13" customFormat="1">
      <c r="B28" s="43" t="s">
        <v>89</v>
      </c>
      <c r="C28" s="43" t="s">
        <v>54</v>
      </c>
      <c r="D28" s="43" t="s">
        <v>54</v>
      </c>
      <c r="E28" s="43" t="s">
        <v>54</v>
      </c>
      <c r="F28" s="44" t="s">
        <v>54</v>
      </c>
      <c r="G28" s="43" t="s">
        <v>54</v>
      </c>
      <c r="H28" s="43" t="s">
        <v>54</v>
      </c>
      <c r="I28" s="43" t="s">
        <v>54</v>
      </c>
      <c r="J28" s="43" t="s">
        <v>54</v>
      </c>
      <c r="K28" s="43" t="s">
        <v>54</v>
      </c>
      <c r="L28" s="43" t="s">
        <v>54</v>
      </c>
      <c r="M28" s="43" t="s">
        <v>54</v>
      </c>
      <c r="N28" s="43" t="s">
        <v>54</v>
      </c>
      <c r="O28" s="43" t="s">
        <v>54</v>
      </c>
      <c r="P28" s="43" t="s">
        <v>54</v>
      </c>
      <c r="Q28" s="43" t="s">
        <v>54</v>
      </c>
      <c r="R28" s="43" t="s">
        <v>54</v>
      </c>
      <c r="S28" s="43" t="s">
        <v>54</v>
      </c>
      <c r="T28" s="43" t="s">
        <v>54</v>
      </c>
      <c r="U28" s="43" t="s">
        <v>54</v>
      </c>
      <c r="V28" s="43" t="s">
        <v>54</v>
      </c>
      <c r="W28" s="43" t="s">
        <v>54</v>
      </c>
      <c r="X28" s="43" t="s">
        <v>54</v>
      </c>
      <c r="Y28" s="43" t="s">
        <v>54</v>
      </c>
      <c r="Z28" s="43" t="s">
        <v>54</v>
      </c>
      <c r="AA28" s="43" t="s">
        <v>54</v>
      </c>
      <c r="AB28" s="43" t="s">
        <v>54</v>
      </c>
      <c r="AC28" s="46" t="s">
        <v>54</v>
      </c>
      <c r="AD28" s="46" t="s">
        <v>54</v>
      </c>
      <c r="AE28" s="46" t="s">
        <v>54</v>
      </c>
    </row>
    <row r="29" spans="1:32" customHeight="1" ht="15.75" s="13" customFormat="1">
      <c r="B29" s="43" t="s">
        <v>90</v>
      </c>
      <c r="C29" s="43" t="s">
        <v>54</v>
      </c>
      <c r="D29" s="43" t="s">
        <v>54</v>
      </c>
      <c r="E29" s="43" t="s">
        <v>54</v>
      </c>
      <c r="F29" s="44" t="s">
        <v>54</v>
      </c>
      <c r="G29" s="43" t="s">
        <v>54</v>
      </c>
      <c r="H29" s="43" t="s">
        <v>54</v>
      </c>
      <c r="I29" s="43" t="s">
        <v>54</v>
      </c>
      <c r="J29" s="43" t="s">
        <v>54</v>
      </c>
      <c r="K29" s="43" t="s">
        <v>54</v>
      </c>
      <c r="L29" s="43" t="s">
        <v>54</v>
      </c>
      <c r="M29" s="43" t="s">
        <v>54</v>
      </c>
      <c r="N29" s="43" t="s">
        <v>54</v>
      </c>
      <c r="O29" s="43" t="s">
        <v>54</v>
      </c>
      <c r="P29" s="43" t="s">
        <v>54</v>
      </c>
      <c r="Q29" s="43" t="s">
        <v>54</v>
      </c>
      <c r="R29" s="43" t="s">
        <v>54</v>
      </c>
      <c r="S29" s="43" t="s">
        <v>54</v>
      </c>
      <c r="T29" s="43" t="s">
        <v>54</v>
      </c>
      <c r="U29" s="43" t="s">
        <v>54</v>
      </c>
      <c r="V29" s="43" t="s">
        <v>54</v>
      </c>
      <c r="W29" s="43" t="s">
        <v>54</v>
      </c>
      <c r="X29" s="43" t="s">
        <v>54</v>
      </c>
      <c r="Y29" s="43" t="s">
        <v>54</v>
      </c>
      <c r="Z29" s="43" t="s">
        <v>54</v>
      </c>
      <c r="AA29" s="43" t="s">
        <v>54</v>
      </c>
      <c r="AB29" s="43" t="s">
        <v>54</v>
      </c>
      <c r="AC29" s="46" t="s">
        <v>54</v>
      </c>
      <c r="AD29" s="46" t="s">
        <v>54</v>
      </c>
      <c r="AE29" s="46" t="s">
        <v>54</v>
      </c>
    </row>
    <row r="30" spans="1:32" customHeight="1" ht="15.75" s="14" customFormat="1">
      <c r="B30" s="43" t="s">
        <v>91</v>
      </c>
      <c r="C30" s="43" t="s">
        <v>54</v>
      </c>
      <c r="D30" s="43" t="s">
        <v>54</v>
      </c>
      <c r="E30" s="43" t="s">
        <v>54</v>
      </c>
      <c r="F30" s="44" t="s">
        <v>54</v>
      </c>
      <c r="G30" s="43" t="s">
        <v>54</v>
      </c>
      <c r="H30" s="43" t="s">
        <v>54</v>
      </c>
      <c r="I30" s="43" t="s">
        <v>54</v>
      </c>
      <c r="J30" s="43" t="s">
        <v>54</v>
      </c>
      <c r="K30" s="43" t="s">
        <v>54</v>
      </c>
      <c r="L30" s="43" t="s">
        <v>54</v>
      </c>
      <c r="M30" s="43" t="s">
        <v>54</v>
      </c>
      <c r="N30" s="43" t="s">
        <v>54</v>
      </c>
      <c r="O30" s="43" t="s">
        <v>54</v>
      </c>
      <c r="P30" s="43" t="s">
        <v>54</v>
      </c>
      <c r="Q30" s="43" t="s">
        <v>54</v>
      </c>
      <c r="R30" s="43" t="s">
        <v>54</v>
      </c>
      <c r="S30" s="43" t="s">
        <v>54</v>
      </c>
      <c r="T30" s="43" t="s">
        <v>54</v>
      </c>
      <c r="U30" s="43" t="s">
        <v>54</v>
      </c>
      <c r="V30" s="43" t="s">
        <v>54</v>
      </c>
      <c r="W30" s="43" t="s">
        <v>54</v>
      </c>
      <c r="X30" s="43" t="s">
        <v>54</v>
      </c>
      <c r="Y30" s="43" t="s">
        <v>54</v>
      </c>
      <c r="Z30" s="43" t="s">
        <v>54</v>
      </c>
      <c r="AA30" s="43" t="s">
        <v>54</v>
      </c>
      <c r="AB30" s="43" t="s">
        <v>54</v>
      </c>
      <c r="AC30" s="46" t="s">
        <v>54</v>
      </c>
      <c r="AD30" s="46" t="s">
        <v>54</v>
      </c>
      <c r="AE30" s="46" t="s">
        <v>54</v>
      </c>
    </row>
    <row r="31" spans="1:32" customHeight="1" ht="15.75" s="13" customFormat="1">
      <c r="B31" s="43" t="s">
        <v>92</v>
      </c>
      <c r="C31" s="43" t="s">
        <v>54</v>
      </c>
      <c r="D31" s="43" t="s">
        <v>54</v>
      </c>
      <c r="E31" s="43" t="s">
        <v>54</v>
      </c>
      <c r="F31" s="44" t="s">
        <v>54</v>
      </c>
      <c r="G31" s="43" t="s">
        <v>54</v>
      </c>
      <c r="H31" s="43" t="s">
        <v>54</v>
      </c>
      <c r="I31" s="43" t="s">
        <v>54</v>
      </c>
      <c r="J31" s="43" t="s">
        <v>54</v>
      </c>
      <c r="K31" s="43" t="s">
        <v>54</v>
      </c>
      <c r="L31" s="43" t="s">
        <v>54</v>
      </c>
      <c r="M31" s="43" t="s">
        <v>54</v>
      </c>
      <c r="N31" s="43" t="s">
        <v>54</v>
      </c>
      <c r="O31" s="43" t="s">
        <v>54</v>
      </c>
      <c r="P31" s="43" t="s">
        <v>54</v>
      </c>
      <c r="Q31" s="43" t="s">
        <v>54</v>
      </c>
      <c r="R31" s="43" t="s">
        <v>54</v>
      </c>
      <c r="S31" s="43" t="s">
        <v>54</v>
      </c>
      <c r="T31" s="43" t="s">
        <v>54</v>
      </c>
      <c r="U31" s="43" t="s">
        <v>54</v>
      </c>
      <c r="V31" s="43" t="s">
        <v>54</v>
      </c>
      <c r="W31" s="43" t="s">
        <v>54</v>
      </c>
      <c r="X31" s="43" t="s">
        <v>54</v>
      </c>
      <c r="Y31" s="43" t="s">
        <v>54</v>
      </c>
      <c r="Z31" s="43" t="s">
        <v>54</v>
      </c>
      <c r="AA31" s="43" t="s">
        <v>54</v>
      </c>
      <c r="AB31" s="43" t="s">
        <v>54</v>
      </c>
      <c r="AC31" s="46" t="s">
        <v>54</v>
      </c>
      <c r="AD31" s="46" t="s">
        <v>54</v>
      </c>
      <c r="AE31" s="46" t="s">
        <v>54</v>
      </c>
    </row>
    <row r="32" spans="1:32" customHeight="1" ht="15.75" s="13" customFormat="1">
      <c r="B32" s="43" t="s">
        <v>93</v>
      </c>
      <c r="C32" s="43" t="s">
        <v>54</v>
      </c>
      <c r="D32" s="43" t="s">
        <v>54</v>
      </c>
      <c r="E32" s="43" t="s">
        <v>54</v>
      </c>
      <c r="F32" s="44" t="s">
        <v>54</v>
      </c>
      <c r="G32" s="43" t="s">
        <v>54</v>
      </c>
      <c r="H32" s="43" t="s">
        <v>54</v>
      </c>
      <c r="I32" s="43" t="s">
        <v>54</v>
      </c>
      <c r="J32" s="43" t="s">
        <v>54</v>
      </c>
      <c r="K32" s="43" t="s">
        <v>54</v>
      </c>
      <c r="L32" s="43" t="s">
        <v>54</v>
      </c>
      <c r="M32" s="43" t="s">
        <v>54</v>
      </c>
      <c r="N32" s="43" t="s">
        <v>54</v>
      </c>
      <c r="O32" s="43" t="s">
        <v>54</v>
      </c>
      <c r="P32" s="43" t="s">
        <v>54</v>
      </c>
      <c r="Q32" s="43" t="s">
        <v>54</v>
      </c>
      <c r="R32" s="43" t="s">
        <v>54</v>
      </c>
      <c r="S32" s="43" t="s">
        <v>54</v>
      </c>
      <c r="T32" s="43" t="s">
        <v>54</v>
      </c>
      <c r="U32" s="43" t="s">
        <v>54</v>
      </c>
      <c r="V32" s="43" t="s">
        <v>54</v>
      </c>
      <c r="W32" s="43" t="s">
        <v>54</v>
      </c>
      <c r="X32" s="43" t="s">
        <v>54</v>
      </c>
      <c r="Y32" s="43" t="s">
        <v>54</v>
      </c>
      <c r="Z32" s="43" t="s">
        <v>54</v>
      </c>
      <c r="AA32" s="43" t="s">
        <v>54</v>
      </c>
      <c r="AB32" s="43" t="s">
        <v>54</v>
      </c>
      <c r="AC32" s="46" t="s">
        <v>54</v>
      </c>
      <c r="AD32" s="46" t="s">
        <v>54</v>
      </c>
      <c r="AE32" s="46" t="s">
        <v>54</v>
      </c>
    </row>
    <row r="33" spans="1:32" customHeight="1" ht="15.75" s="13" customFormat="1">
      <c r="B33" s="43" t="s">
        <v>94</v>
      </c>
      <c r="C33" s="43" t="s">
        <v>54</v>
      </c>
      <c r="D33" s="43" t="s">
        <v>54</v>
      </c>
      <c r="E33" s="43" t="s">
        <v>54</v>
      </c>
      <c r="F33" s="44" t="s">
        <v>54</v>
      </c>
      <c r="G33" s="43" t="s">
        <v>54</v>
      </c>
      <c r="H33" s="43" t="s">
        <v>54</v>
      </c>
      <c r="I33" s="43" t="s">
        <v>54</v>
      </c>
      <c r="J33" s="43" t="s">
        <v>54</v>
      </c>
      <c r="K33" s="43" t="s">
        <v>54</v>
      </c>
      <c r="L33" s="43" t="s">
        <v>54</v>
      </c>
      <c r="M33" s="43" t="s">
        <v>54</v>
      </c>
      <c r="N33" s="43" t="s">
        <v>54</v>
      </c>
      <c r="O33" s="43" t="s">
        <v>54</v>
      </c>
      <c r="P33" s="43" t="s">
        <v>54</v>
      </c>
      <c r="Q33" s="43" t="s">
        <v>54</v>
      </c>
      <c r="R33" s="43" t="s">
        <v>54</v>
      </c>
      <c r="S33" s="43" t="s">
        <v>54</v>
      </c>
      <c r="T33" s="43" t="s">
        <v>54</v>
      </c>
      <c r="U33" s="43" t="s">
        <v>54</v>
      </c>
      <c r="V33" s="43" t="s">
        <v>54</v>
      </c>
      <c r="W33" s="43" t="s">
        <v>54</v>
      </c>
      <c r="X33" s="43" t="s">
        <v>54</v>
      </c>
      <c r="Y33" s="43" t="s">
        <v>54</v>
      </c>
      <c r="Z33" s="43" t="s">
        <v>54</v>
      </c>
      <c r="AA33" s="43" t="s">
        <v>54</v>
      </c>
      <c r="AB33" s="43" t="s">
        <v>54</v>
      </c>
      <c r="AC33" s="46" t="s">
        <v>54</v>
      </c>
      <c r="AD33" s="46" t="s">
        <v>54</v>
      </c>
      <c r="AE33" s="46" t="s">
        <v>54</v>
      </c>
    </row>
    <row r="34" spans="1:32" customHeight="1" ht="15.75" s="14" customFormat="1">
      <c r="A34" s="26">
        <v>0</v>
      </c>
      <c r="B34" s="43" t="s">
        <v>95</v>
      </c>
      <c r="C34" s="43" t="s">
        <v>54</v>
      </c>
      <c r="D34" s="43" t="s">
        <v>54</v>
      </c>
      <c r="E34" s="43" t="s">
        <v>54</v>
      </c>
      <c r="F34" s="44" t="s">
        <v>54</v>
      </c>
      <c r="G34" s="43" t="s">
        <v>54</v>
      </c>
      <c r="H34" s="43" t="s">
        <v>54</v>
      </c>
      <c r="I34" s="43" t="s">
        <v>54</v>
      </c>
      <c r="J34" s="43" t="s">
        <v>54</v>
      </c>
      <c r="K34" s="43" t="s">
        <v>54</v>
      </c>
      <c r="L34" s="43" t="s">
        <v>54</v>
      </c>
      <c r="M34" s="43" t="s">
        <v>54</v>
      </c>
      <c r="N34" s="43" t="s">
        <v>54</v>
      </c>
      <c r="O34" s="43" t="s">
        <v>54</v>
      </c>
      <c r="P34" s="43" t="s">
        <v>54</v>
      </c>
      <c r="Q34" s="43" t="s">
        <v>54</v>
      </c>
      <c r="R34" s="43" t="s">
        <v>54</v>
      </c>
      <c r="S34" s="43" t="s">
        <v>54</v>
      </c>
      <c r="T34" s="43" t="s">
        <v>54</v>
      </c>
      <c r="U34" s="43" t="s">
        <v>54</v>
      </c>
      <c r="V34" s="43" t="s">
        <v>54</v>
      </c>
      <c r="W34" s="43" t="s">
        <v>54</v>
      </c>
      <c r="X34" s="43" t="s">
        <v>54</v>
      </c>
      <c r="Y34" s="43" t="s">
        <v>54</v>
      </c>
      <c r="Z34" s="43" t="s">
        <v>54</v>
      </c>
      <c r="AA34" s="43" t="s">
        <v>54</v>
      </c>
      <c r="AB34" s="43" t="s">
        <v>54</v>
      </c>
      <c r="AC34" s="46" t="s">
        <v>54</v>
      </c>
      <c r="AD34" s="46" t="s">
        <v>54</v>
      </c>
      <c r="AE34" s="46" t="s">
        <v>54</v>
      </c>
    </row>
    <row r="35" spans="1:32" customHeight="1" ht="15.75" s="13" customFormat="1">
      <c r="B35" s="43" t="s">
        <v>96</v>
      </c>
      <c r="C35" s="43">
        <v>752049.0</v>
      </c>
      <c r="D35" s="43">
        <v>9052090.0</v>
      </c>
      <c r="E35" s="43" t="s">
        <v>97</v>
      </c>
      <c r="F35" s="44" t="s">
        <v>98</v>
      </c>
      <c r="G35" s="43" t="s">
        <v>54</v>
      </c>
      <c r="H35" s="43" t="s">
        <v>54</v>
      </c>
      <c r="I35" s="43" t="s">
        <v>54</v>
      </c>
      <c r="J35" s="43" t="s">
        <v>54</v>
      </c>
      <c r="K35" s="43" t="s">
        <v>54</v>
      </c>
      <c r="L35" s="43" t="s">
        <v>54</v>
      </c>
      <c r="M35" s="43" t="s">
        <v>54</v>
      </c>
      <c r="N35" s="43" t="s">
        <v>54</v>
      </c>
      <c r="O35" s="43" t="s">
        <v>54</v>
      </c>
      <c r="P35" s="43" t="s">
        <v>54</v>
      </c>
      <c r="Q35" s="43" t="s">
        <v>54</v>
      </c>
      <c r="R35" s="43" t="s">
        <v>54</v>
      </c>
      <c r="S35" s="43" t="s">
        <v>54</v>
      </c>
      <c r="T35" s="43" t="s">
        <v>54</v>
      </c>
      <c r="U35" s="43" t="s">
        <v>54</v>
      </c>
      <c r="V35" s="43" t="s">
        <v>54</v>
      </c>
      <c r="W35" s="43" t="s">
        <v>54</v>
      </c>
      <c r="X35" s="43" t="s">
        <v>54</v>
      </c>
      <c r="Y35" s="43" t="s">
        <v>54</v>
      </c>
      <c r="Z35" s="43" t="s">
        <v>54</v>
      </c>
      <c r="AA35" s="43" t="s">
        <v>54</v>
      </c>
      <c r="AB35" s="43" t="s">
        <v>54</v>
      </c>
      <c r="AC35" s="46" t="s">
        <v>54</v>
      </c>
      <c r="AD35" s="46" t="s">
        <v>54</v>
      </c>
      <c r="AE35" s="46" t="s">
        <v>54</v>
      </c>
    </row>
    <row r="36" spans="1:32" customHeight="1" ht="15.75" s="13" customFormat="1">
      <c r="B36" s="43" t="s">
        <v>99</v>
      </c>
      <c r="C36" s="43" t="s">
        <v>54</v>
      </c>
      <c r="D36" s="43" t="s">
        <v>54</v>
      </c>
      <c r="E36" s="43" t="s">
        <v>54</v>
      </c>
      <c r="F36" s="44" t="s">
        <v>54</v>
      </c>
      <c r="G36" s="43" t="s">
        <v>54</v>
      </c>
      <c r="H36" s="43" t="s">
        <v>54</v>
      </c>
      <c r="I36" s="43" t="s">
        <v>54</v>
      </c>
      <c r="J36" s="43" t="s">
        <v>54</v>
      </c>
      <c r="K36" s="43" t="s">
        <v>54</v>
      </c>
      <c r="L36" s="43" t="s">
        <v>54</v>
      </c>
      <c r="M36" s="43" t="s">
        <v>54</v>
      </c>
      <c r="N36" s="43" t="s">
        <v>54</v>
      </c>
      <c r="O36" s="43" t="s">
        <v>54</v>
      </c>
      <c r="P36" s="43" t="s">
        <v>54</v>
      </c>
      <c r="Q36" s="43" t="s">
        <v>54</v>
      </c>
      <c r="R36" s="43" t="s">
        <v>54</v>
      </c>
      <c r="S36" s="43" t="s">
        <v>54</v>
      </c>
      <c r="T36" s="43" t="s">
        <v>54</v>
      </c>
      <c r="U36" s="43" t="s">
        <v>54</v>
      </c>
      <c r="V36" s="43" t="s">
        <v>54</v>
      </c>
      <c r="W36" s="43" t="s">
        <v>54</v>
      </c>
      <c r="X36" s="43" t="s">
        <v>54</v>
      </c>
      <c r="Y36" s="43" t="s">
        <v>54</v>
      </c>
      <c r="Z36" s="43" t="s">
        <v>54</v>
      </c>
      <c r="AA36" s="43" t="s">
        <v>54</v>
      </c>
      <c r="AB36" s="43" t="s">
        <v>54</v>
      </c>
      <c r="AC36" s="46" t="s">
        <v>54</v>
      </c>
      <c r="AD36" s="46" t="s">
        <v>54</v>
      </c>
      <c r="AE36" s="46" t="s">
        <v>54</v>
      </c>
    </row>
    <row r="37" spans="1:32" customHeight="1" ht="15.75" s="14" customFormat="1">
      <c r="B37" s="43" t="s">
        <v>100</v>
      </c>
      <c r="C37" s="43" t="s">
        <v>54</v>
      </c>
      <c r="D37" s="43" t="s">
        <v>54</v>
      </c>
      <c r="E37" s="43" t="s">
        <v>54</v>
      </c>
      <c r="F37" s="44" t="s">
        <v>54</v>
      </c>
      <c r="G37" s="43" t="s">
        <v>54</v>
      </c>
      <c r="H37" s="43" t="s">
        <v>54</v>
      </c>
      <c r="I37" s="43" t="s">
        <v>54</v>
      </c>
      <c r="J37" s="43" t="s">
        <v>54</v>
      </c>
      <c r="K37" s="43" t="s">
        <v>54</v>
      </c>
      <c r="L37" s="43" t="s">
        <v>54</v>
      </c>
      <c r="M37" s="43" t="s">
        <v>54</v>
      </c>
      <c r="N37" s="43" t="s">
        <v>54</v>
      </c>
      <c r="O37" s="43" t="s">
        <v>54</v>
      </c>
      <c r="P37" s="43" t="s">
        <v>54</v>
      </c>
      <c r="Q37" s="43" t="s">
        <v>54</v>
      </c>
      <c r="R37" s="43" t="s">
        <v>54</v>
      </c>
      <c r="S37" s="43" t="s">
        <v>54</v>
      </c>
      <c r="T37" s="43" t="s">
        <v>54</v>
      </c>
      <c r="U37" s="43" t="s">
        <v>54</v>
      </c>
      <c r="V37" s="43" t="s">
        <v>54</v>
      </c>
      <c r="W37" s="43" t="s">
        <v>54</v>
      </c>
      <c r="X37" s="43" t="s">
        <v>54</v>
      </c>
      <c r="Y37" s="43" t="s">
        <v>54</v>
      </c>
      <c r="Z37" s="43" t="s">
        <v>54</v>
      </c>
      <c r="AA37" s="43" t="s">
        <v>54</v>
      </c>
      <c r="AB37" s="43" t="s">
        <v>54</v>
      </c>
      <c r="AC37" s="46" t="s">
        <v>54</v>
      </c>
      <c r="AD37" s="46" t="s">
        <v>54</v>
      </c>
      <c r="AE37" s="46" t="s">
        <v>54</v>
      </c>
    </row>
    <row r="38" spans="1:32" customHeight="1" ht="15.75" s="14" customFormat="1">
      <c r="B38" s="43" t="s">
        <v>101</v>
      </c>
      <c r="C38" s="43" t="s">
        <v>54</v>
      </c>
      <c r="D38" s="43" t="s">
        <v>54</v>
      </c>
      <c r="E38" s="43" t="s">
        <v>54</v>
      </c>
      <c r="F38" s="44" t="s">
        <v>54</v>
      </c>
      <c r="G38" s="43" t="s">
        <v>54</v>
      </c>
      <c r="H38" s="43" t="s">
        <v>54</v>
      </c>
      <c r="I38" s="43" t="s">
        <v>54</v>
      </c>
      <c r="J38" s="43" t="s">
        <v>54</v>
      </c>
      <c r="K38" s="43" t="s">
        <v>54</v>
      </c>
      <c r="L38" s="43" t="s">
        <v>54</v>
      </c>
      <c r="M38" s="43" t="s">
        <v>54</v>
      </c>
      <c r="N38" s="43" t="s">
        <v>54</v>
      </c>
      <c r="O38" s="43" t="s">
        <v>54</v>
      </c>
      <c r="P38" s="43" t="s">
        <v>54</v>
      </c>
      <c r="Q38" s="43" t="s">
        <v>54</v>
      </c>
      <c r="R38" s="43" t="s">
        <v>54</v>
      </c>
      <c r="S38" s="43" t="s">
        <v>54</v>
      </c>
      <c r="T38" s="43" t="s">
        <v>54</v>
      </c>
      <c r="U38" s="43" t="s">
        <v>54</v>
      </c>
      <c r="V38" s="43" t="s">
        <v>54</v>
      </c>
      <c r="W38" s="43" t="s">
        <v>54</v>
      </c>
      <c r="X38" s="43" t="s">
        <v>54</v>
      </c>
      <c r="Y38" s="43" t="s">
        <v>54</v>
      </c>
      <c r="Z38" s="43" t="s">
        <v>54</v>
      </c>
      <c r="AA38" s="43" t="s">
        <v>54</v>
      </c>
      <c r="AB38" s="43" t="s">
        <v>54</v>
      </c>
      <c r="AC38" s="46" t="s">
        <v>54</v>
      </c>
      <c r="AD38" s="46" t="s">
        <v>54</v>
      </c>
      <c r="AE38" s="46" t="s">
        <v>54</v>
      </c>
    </row>
    <row r="39" spans="1:32" customHeight="1" ht="15.75" s="13" customFormat="1">
      <c r="B39" s="43" t="s">
        <v>102</v>
      </c>
      <c r="C39" s="43" t="s">
        <v>54</v>
      </c>
      <c r="D39" s="43" t="s">
        <v>54</v>
      </c>
      <c r="E39" s="43" t="s">
        <v>54</v>
      </c>
      <c r="F39" s="44" t="s">
        <v>54</v>
      </c>
      <c r="G39" s="43" t="s">
        <v>54</v>
      </c>
      <c r="H39" s="43" t="s">
        <v>54</v>
      </c>
      <c r="I39" s="43" t="s">
        <v>54</v>
      </c>
      <c r="J39" s="43" t="s">
        <v>54</v>
      </c>
      <c r="K39" s="43" t="s">
        <v>54</v>
      </c>
      <c r="L39" s="43" t="s">
        <v>54</v>
      </c>
      <c r="M39" s="43" t="s">
        <v>54</v>
      </c>
      <c r="N39" s="43" t="s">
        <v>54</v>
      </c>
      <c r="O39" s="43" t="s">
        <v>54</v>
      </c>
      <c r="P39" s="43" t="s">
        <v>54</v>
      </c>
      <c r="Q39" s="43" t="s">
        <v>54</v>
      </c>
      <c r="R39" s="43" t="s">
        <v>54</v>
      </c>
      <c r="S39" s="43" t="s">
        <v>54</v>
      </c>
      <c r="T39" s="43" t="s">
        <v>54</v>
      </c>
      <c r="U39" s="43" t="s">
        <v>54</v>
      </c>
      <c r="V39" s="43" t="s">
        <v>54</v>
      </c>
      <c r="W39" s="43" t="s">
        <v>54</v>
      </c>
      <c r="X39" s="43" t="s">
        <v>54</v>
      </c>
      <c r="Y39" s="43" t="s">
        <v>54</v>
      </c>
      <c r="Z39" s="43" t="s">
        <v>54</v>
      </c>
      <c r="AA39" s="43" t="s">
        <v>54</v>
      </c>
      <c r="AB39" s="43" t="s">
        <v>54</v>
      </c>
      <c r="AC39" s="46" t="s">
        <v>54</v>
      </c>
      <c r="AD39" s="46" t="s">
        <v>54</v>
      </c>
      <c r="AE39" s="46" t="s">
        <v>54</v>
      </c>
    </row>
    <row r="40" spans="1:32" customHeight="1" ht="15.75" s="14" customFormat="1">
      <c r="B40" s="43" t="s">
        <v>103</v>
      </c>
      <c r="C40" s="43" t="s">
        <v>54</v>
      </c>
      <c r="D40" s="43" t="s">
        <v>54</v>
      </c>
      <c r="E40" s="43" t="s">
        <v>54</v>
      </c>
      <c r="F40" s="44" t="s">
        <v>54</v>
      </c>
      <c r="G40" s="43" t="s">
        <v>54</v>
      </c>
      <c r="H40" s="43" t="s">
        <v>54</v>
      </c>
      <c r="I40" s="43" t="s">
        <v>54</v>
      </c>
      <c r="J40" s="43" t="s">
        <v>54</v>
      </c>
      <c r="K40" s="43" t="s">
        <v>54</v>
      </c>
      <c r="L40" s="43" t="s">
        <v>54</v>
      </c>
      <c r="M40" s="43" t="s">
        <v>54</v>
      </c>
      <c r="N40" s="43" t="s">
        <v>54</v>
      </c>
      <c r="O40" s="43" t="s">
        <v>54</v>
      </c>
      <c r="P40" s="43" t="s">
        <v>54</v>
      </c>
      <c r="Q40" s="43" t="s">
        <v>54</v>
      </c>
      <c r="R40" s="43" t="s">
        <v>54</v>
      </c>
      <c r="S40" s="43" t="s">
        <v>54</v>
      </c>
      <c r="T40" s="43" t="s">
        <v>54</v>
      </c>
      <c r="U40" s="43" t="s">
        <v>54</v>
      </c>
      <c r="V40" s="43" t="s">
        <v>54</v>
      </c>
      <c r="W40" s="43" t="s">
        <v>54</v>
      </c>
      <c r="X40" s="43" t="s">
        <v>54</v>
      </c>
      <c r="Y40" s="43" t="s">
        <v>54</v>
      </c>
      <c r="Z40" s="43" t="s">
        <v>54</v>
      </c>
      <c r="AA40" s="43" t="s">
        <v>54</v>
      </c>
      <c r="AB40" s="43" t="s">
        <v>54</v>
      </c>
      <c r="AC40" s="46" t="s">
        <v>54</v>
      </c>
      <c r="AD40" s="46" t="s">
        <v>54</v>
      </c>
      <c r="AE40" s="46" t="s">
        <v>54</v>
      </c>
    </row>
    <row r="41" spans="1:32" customHeight="1" ht="15.75" s="13" customFormat="1">
      <c r="B41" s="43" t="s">
        <v>104</v>
      </c>
      <c r="C41" s="43" t="s">
        <v>54</v>
      </c>
      <c r="D41" s="43" t="s">
        <v>54</v>
      </c>
      <c r="E41" s="43" t="s">
        <v>54</v>
      </c>
      <c r="F41" s="44" t="s">
        <v>54</v>
      </c>
      <c r="G41" s="43" t="s">
        <v>54</v>
      </c>
      <c r="H41" s="43" t="s">
        <v>54</v>
      </c>
      <c r="I41" s="43" t="s">
        <v>54</v>
      </c>
      <c r="J41" s="43" t="s">
        <v>54</v>
      </c>
      <c r="K41" s="43" t="s">
        <v>54</v>
      </c>
      <c r="L41" s="43" t="s">
        <v>54</v>
      </c>
      <c r="M41" s="43" t="s">
        <v>54</v>
      </c>
      <c r="N41" s="43" t="s">
        <v>54</v>
      </c>
      <c r="O41" s="43" t="s">
        <v>54</v>
      </c>
      <c r="P41" s="43" t="s">
        <v>54</v>
      </c>
      <c r="Q41" s="43" t="s">
        <v>54</v>
      </c>
      <c r="R41" s="43" t="s">
        <v>54</v>
      </c>
      <c r="S41" s="43" t="s">
        <v>54</v>
      </c>
      <c r="T41" s="43" t="s">
        <v>54</v>
      </c>
      <c r="U41" s="43" t="s">
        <v>54</v>
      </c>
      <c r="V41" s="43" t="s">
        <v>54</v>
      </c>
      <c r="W41" s="43" t="s">
        <v>54</v>
      </c>
      <c r="X41" s="43" t="s">
        <v>54</v>
      </c>
      <c r="Y41" s="43" t="s">
        <v>54</v>
      </c>
      <c r="Z41" s="43" t="s">
        <v>54</v>
      </c>
      <c r="AA41" s="43" t="s">
        <v>54</v>
      </c>
      <c r="AB41" s="43" t="s">
        <v>54</v>
      </c>
      <c r="AC41" s="46" t="s">
        <v>54</v>
      </c>
      <c r="AD41" s="46" t="s">
        <v>54</v>
      </c>
      <c r="AE41" s="46" t="s">
        <v>54</v>
      </c>
    </row>
    <row r="42" spans="1:32" customHeight="1" ht="15.75" s="14" customFormat="1">
      <c r="B42" s="43" t="s">
        <v>105</v>
      </c>
      <c r="C42" s="43" t="s">
        <v>54</v>
      </c>
      <c r="D42" s="43" t="s">
        <v>54</v>
      </c>
      <c r="E42" s="43" t="s">
        <v>54</v>
      </c>
      <c r="F42" s="44" t="s">
        <v>54</v>
      </c>
      <c r="G42" s="43" t="s">
        <v>54</v>
      </c>
      <c r="H42" s="43" t="s">
        <v>54</v>
      </c>
      <c r="I42" s="43" t="s">
        <v>54</v>
      </c>
      <c r="J42" s="43" t="s">
        <v>54</v>
      </c>
      <c r="K42" s="43" t="s">
        <v>54</v>
      </c>
      <c r="L42" s="43" t="s">
        <v>54</v>
      </c>
      <c r="M42" s="43" t="s">
        <v>54</v>
      </c>
      <c r="N42" s="43" t="s">
        <v>54</v>
      </c>
      <c r="O42" s="43" t="s">
        <v>54</v>
      </c>
      <c r="P42" s="43" t="s">
        <v>54</v>
      </c>
      <c r="Q42" s="43" t="s">
        <v>54</v>
      </c>
      <c r="R42" s="43" t="s">
        <v>54</v>
      </c>
      <c r="S42" s="43" t="s">
        <v>54</v>
      </c>
      <c r="T42" s="43" t="s">
        <v>54</v>
      </c>
      <c r="U42" s="43" t="s">
        <v>54</v>
      </c>
      <c r="V42" s="43" t="s">
        <v>54</v>
      </c>
      <c r="W42" s="43" t="s">
        <v>54</v>
      </c>
      <c r="X42" s="43" t="s">
        <v>54</v>
      </c>
      <c r="Y42" s="43" t="s">
        <v>54</v>
      </c>
      <c r="Z42" s="43" t="s">
        <v>54</v>
      </c>
      <c r="AA42" s="43" t="s">
        <v>54</v>
      </c>
      <c r="AB42" s="43" t="s">
        <v>54</v>
      </c>
      <c r="AC42" s="46" t="s">
        <v>54</v>
      </c>
      <c r="AD42" s="46" t="s">
        <v>54</v>
      </c>
      <c r="AE42" s="46" t="s">
        <v>54</v>
      </c>
    </row>
    <row r="43" spans="1:32" customHeight="1" ht="15.75" s="14" customFormat="1">
      <c r="B43" s="43" t="s">
        <v>106</v>
      </c>
      <c r="C43" s="43" t="s">
        <v>54</v>
      </c>
      <c r="D43" s="43" t="s">
        <v>54</v>
      </c>
      <c r="E43" s="43" t="s">
        <v>54</v>
      </c>
      <c r="F43" s="44" t="s">
        <v>54</v>
      </c>
      <c r="G43" s="43" t="s">
        <v>54</v>
      </c>
      <c r="H43" s="43" t="s">
        <v>54</v>
      </c>
      <c r="I43" s="43" t="s">
        <v>54</v>
      </c>
      <c r="J43" s="43" t="s">
        <v>54</v>
      </c>
      <c r="K43" s="43" t="s">
        <v>54</v>
      </c>
      <c r="L43" s="43" t="s">
        <v>54</v>
      </c>
      <c r="M43" s="43" t="s">
        <v>54</v>
      </c>
      <c r="N43" s="43" t="s">
        <v>54</v>
      </c>
      <c r="O43" s="43" t="s">
        <v>54</v>
      </c>
      <c r="P43" s="43" t="s">
        <v>54</v>
      </c>
      <c r="Q43" s="43" t="s">
        <v>54</v>
      </c>
      <c r="R43" s="43" t="s">
        <v>54</v>
      </c>
      <c r="S43" s="43" t="s">
        <v>54</v>
      </c>
      <c r="T43" s="43" t="s">
        <v>54</v>
      </c>
      <c r="U43" s="43" t="s">
        <v>54</v>
      </c>
      <c r="V43" s="43" t="s">
        <v>54</v>
      </c>
      <c r="W43" s="43" t="s">
        <v>54</v>
      </c>
      <c r="X43" s="43" t="s">
        <v>54</v>
      </c>
      <c r="Y43" s="43" t="s">
        <v>54</v>
      </c>
      <c r="Z43" s="43" t="s">
        <v>54</v>
      </c>
      <c r="AA43" s="43" t="s">
        <v>54</v>
      </c>
      <c r="AB43" s="43" t="s">
        <v>54</v>
      </c>
      <c r="AC43" s="46" t="s">
        <v>54</v>
      </c>
      <c r="AD43" s="46" t="s">
        <v>54</v>
      </c>
      <c r="AE43" s="46" t="s">
        <v>54</v>
      </c>
    </row>
    <row r="44" spans="1:32" customHeight="1" ht="15.75" s="13" customFormat="1">
      <c r="B44" s="43" t="s">
        <v>107</v>
      </c>
      <c r="C44" s="43" t="s">
        <v>54</v>
      </c>
      <c r="D44" s="43" t="s">
        <v>54</v>
      </c>
      <c r="E44" s="43" t="s">
        <v>54</v>
      </c>
      <c r="F44" s="44" t="s">
        <v>54</v>
      </c>
      <c r="G44" s="43" t="s">
        <v>54</v>
      </c>
      <c r="H44" s="43" t="s">
        <v>54</v>
      </c>
      <c r="I44" s="43" t="s">
        <v>54</v>
      </c>
      <c r="J44" s="43" t="s">
        <v>54</v>
      </c>
      <c r="K44" s="43" t="s">
        <v>54</v>
      </c>
      <c r="L44" s="43" t="s">
        <v>54</v>
      </c>
      <c r="M44" s="43" t="s">
        <v>54</v>
      </c>
      <c r="N44" s="43" t="s">
        <v>54</v>
      </c>
      <c r="O44" s="43" t="s">
        <v>54</v>
      </c>
      <c r="P44" s="43" t="s">
        <v>54</v>
      </c>
      <c r="Q44" s="43" t="s">
        <v>54</v>
      </c>
      <c r="R44" s="43" t="s">
        <v>54</v>
      </c>
      <c r="S44" s="43" t="s">
        <v>54</v>
      </c>
      <c r="T44" s="43" t="s">
        <v>54</v>
      </c>
      <c r="U44" s="43" t="s">
        <v>54</v>
      </c>
      <c r="V44" s="43" t="s">
        <v>54</v>
      </c>
      <c r="W44" s="43" t="s">
        <v>54</v>
      </c>
      <c r="X44" s="43" t="s">
        <v>54</v>
      </c>
      <c r="Y44" s="43" t="s">
        <v>54</v>
      </c>
      <c r="Z44" s="43" t="s">
        <v>54</v>
      </c>
      <c r="AA44" s="43" t="s">
        <v>54</v>
      </c>
      <c r="AB44" s="43" t="s">
        <v>54</v>
      </c>
      <c r="AC44" s="46" t="s">
        <v>54</v>
      </c>
      <c r="AD44" s="46" t="s">
        <v>54</v>
      </c>
      <c r="AE44" s="46" t="s">
        <v>54</v>
      </c>
    </row>
    <row r="45" spans="1:32" customHeight="1" ht="15.75" s="13" customFormat="1">
      <c r="B45" s="43" t="s">
        <v>108</v>
      </c>
      <c r="C45" s="43" t="s">
        <v>54</v>
      </c>
      <c r="D45" s="43" t="s">
        <v>54</v>
      </c>
      <c r="E45" s="43" t="s">
        <v>54</v>
      </c>
      <c r="F45" s="44" t="s">
        <v>54</v>
      </c>
      <c r="G45" s="43" t="s">
        <v>54</v>
      </c>
      <c r="H45" s="43" t="s">
        <v>54</v>
      </c>
      <c r="I45" s="43" t="s">
        <v>54</v>
      </c>
      <c r="J45" s="43" t="s">
        <v>54</v>
      </c>
      <c r="K45" s="43" t="s">
        <v>54</v>
      </c>
      <c r="L45" s="43" t="s">
        <v>54</v>
      </c>
      <c r="M45" s="43" t="s">
        <v>54</v>
      </c>
      <c r="N45" s="43" t="s">
        <v>54</v>
      </c>
      <c r="O45" s="43" t="s">
        <v>54</v>
      </c>
      <c r="P45" s="43" t="s">
        <v>54</v>
      </c>
      <c r="Q45" s="43" t="s">
        <v>54</v>
      </c>
      <c r="R45" s="43" t="s">
        <v>54</v>
      </c>
      <c r="S45" s="43" t="s">
        <v>54</v>
      </c>
      <c r="T45" s="43" t="s">
        <v>54</v>
      </c>
      <c r="U45" s="43" t="s">
        <v>54</v>
      </c>
      <c r="V45" s="43" t="s">
        <v>54</v>
      </c>
      <c r="W45" s="43" t="s">
        <v>54</v>
      </c>
      <c r="X45" s="43" t="s">
        <v>54</v>
      </c>
      <c r="Y45" s="43" t="s">
        <v>54</v>
      </c>
      <c r="Z45" s="43" t="s">
        <v>54</v>
      </c>
      <c r="AA45" s="43" t="s">
        <v>54</v>
      </c>
      <c r="AB45" s="43" t="s">
        <v>54</v>
      </c>
      <c r="AC45" s="46" t="s">
        <v>54</v>
      </c>
      <c r="AD45" s="46" t="s">
        <v>54</v>
      </c>
      <c r="AE45" s="46" t="s">
        <v>54</v>
      </c>
    </row>
    <row r="46" spans="1:32" customHeight="1" ht="15.75" s="13" customFormat="1">
      <c r="B46" s="43" t="s">
        <v>109</v>
      </c>
      <c r="C46" s="43" t="s">
        <v>54</v>
      </c>
      <c r="D46" s="43" t="s">
        <v>54</v>
      </c>
      <c r="E46" s="43" t="s">
        <v>54</v>
      </c>
      <c r="F46" s="44" t="s">
        <v>54</v>
      </c>
      <c r="G46" s="43" t="s">
        <v>54</v>
      </c>
      <c r="H46" s="43" t="s">
        <v>54</v>
      </c>
      <c r="I46" s="43" t="s">
        <v>54</v>
      </c>
      <c r="J46" s="43" t="s">
        <v>54</v>
      </c>
      <c r="K46" s="43" t="s">
        <v>54</v>
      </c>
      <c r="L46" s="43" t="s">
        <v>54</v>
      </c>
      <c r="M46" s="43" t="s">
        <v>54</v>
      </c>
      <c r="N46" s="43" t="s">
        <v>54</v>
      </c>
      <c r="O46" s="43" t="s">
        <v>54</v>
      </c>
      <c r="P46" s="43" t="s">
        <v>54</v>
      </c>
      <c r="Q46" s="43" t="s">
        <v>54</v>
      </c>
      <c r="R46" s="43" t="s">
        <v>54</v>
      </c>
      <c r="S46" s="43" t="s">
        <v>54</v>
      </c>
      <c r="T46" s="43" t="s">
        <v>54</v>
      </c>
      <c r="U46" s="43" t="s">
        <v>54</v>
      </c>
      <c r="V46" s="43" t="s">
        <v>54</v>
      </c>
      <c r="W46" s="43" t="s">
        <v>54</v>
      </c>
      <c r="X46" s="43" t="s">
        <v>54</v>
      </c>
      <c r="Y46" s="43" t="s">
        <v>54</v>
      </c>
      <c r="Z46" s="43" t="s">
        <v>54</v>
      </c>
      <c r="AA46" s="43" t="s">
        <v>54</v>
      </c>
      <c r="AB46" s="43" t="s">
        <v>54</v>
      </c>
      <c r="AC46" s="46" t="s">
        <v>54</v>
      </c>
      <c r="AD46" s="46" t="s">
        <v>54</v>
      </c>
      <c r="AE46" s="46" t="s">
        <v>54</v>
      </c>
    </row>
    <row r="47" spans="1:32" customHeight="1" ht="15.75" s="13" customFormat="1">
      <c r="B47" s="43" t="s">
        <v>110</v>
      </c>
      <c r="C47" s="43" t="s">
        <v>54</v>
      </c>
      <c r="D47" s="43" t="s">
        <v>54</v>
      </c>
      <c r="E47" s="43" t="s">
        <v>54</v>
      </c>
      <c r="F47" s="44" t="s">
        <v>54</v>
      </c>
      <c r="G47" s="43" t="s">
        <v>54</v>
      </c>
      <c r="H47" s="43" t="s">
        <v>54</v>
      </c>
      <c r="I47" s="43" t="s">
        <v>54</v>
      </c>
      <c r="J47" s="43" t="s">
        <v>54</v>
      </c>
      <c r="K47" s="43" t="s">
        <v>54</v>
      </c>
      <c r="L47" s="43" t="s">
        <v>54</v>
      </c>
      <c r="M47" s="43" t="s">
        <v>54</v>
      </c>
      <c r="N47" s="43" t="s">
        <v>54</v>
      </c>
      <c r="O47" s="43" t="s">
        <v>54</v>
      </c>
      <c r="P47" s="43" t="s">
        <v>54</v>
      </c>
      <c r="Q47" s="43" t="s">
        <v>54</v>
      </c>
      <c r="R47" s="43" t="s">
        <v>54</v>
      </c>
      <c r="S47" s="43" t="s">
        <v>54</v>
      </c>
      <c r="T47" s="43" t="s">
        <v>54</v>
      </c>
      <c r="U47" s="43" t="s">
        <v>54</v>
      </c>
      <c r="V47" s="43" t="s">
        <v>54</v>
      </c>
      <c r="W47" s="43" t="s">
        <v>54</v>
      </c>
      <c r="X47" s="43" t="s">
        <v>54</v>
      </c>
      <c r="Y47" s="43" t="s">
        <v>54</v>
      </c>
      <c r="Z47" s="43" t="s">
        <v>54</v>
      </c>
      <c r="AA47" s="43" t="s">
        <v>54</v>
      </c>
      <c r="AB47" s="43" t="s">
        <v>54</v>
      </c>
      <c r="AC47" s="46" t="s">
        <v>54</v>
      </c>
      <c r="AD47" s="46" t="s">
        <v>54</v>
      </c>
      <c r="AE47" s="46" t="s">
        <v>54</v>
      </c>
    </row>
    <row r="48" spans="1:32" customHeight="1" ht="15.75" s="13" customFormat="1">
      <c r="B48" s="43" t="s">
        <v>111</v>
      </c>
      <c r="C48" s="43" t="s">
        <v>54</v>
      </c>
      <c r="D48" s="43" t="s">
        <v>54</v>
      </c>
      <c r="E48" s="43" t="s">
        <v>54</v>
      </c>
      <c r="F48" s="44" t="s">
        <v>54</v>
      </c>
      <c r="G48" s="43" t="s">
        <v>54</v>
      </c>
      <c r="H48" s="43" t="s">
        <v>54</v>
      </c>
      <c r="I48" s="43" t="s">
        <v>54</v>
      </c>
      <c r="J48" s="43" t="s">
        <v>54</v>
      </c>
      <c r="K48" s="43" t="s">
        <v>54</v>
      </c>
      <c r="L48" s="43" t="s">
        <v>54</v>
      </c>
      <c r="M48" s="43" t="s">
        <v>54</v>
      </c>
      <c r="N48" s="43" t="s">
        <v>54</v>
      </c>
      <c r="O48" s="43" t="s">
        <v>54</v>
      </c>
      <c r="P48" s="43" t="s">
        <v>54</v>
      </c>
      <c r="Q48" s="43" t="s">
        <v>54</v>
      </c>
      <c r="R48" s="43" t="s">
        <v>54</v>
      </c>
      <c r="S48" s="43" t="s">
        <v>54</v>
      </c>
      <c r="T48" s="43" t="s">
        <v>54</v>
      </c>
      <c r="U48" s="43" t="s">
        <v>54</v>
      </c>
      <c r="V48" s="43" t="s">
        <v>54</v>
      </c>
      <c r="W48" s="43" t="s">
        <v>54</v>
      </c>
      <c r="X48" s="43" t="s">
        <v>54</v>
      </c>
      <c r="Y48" s="43" t="s">
        <v>54</v>
      </c>
      <c r="Z48" s="43" t="s">
        <v>54</v>
      </c>
      <c r="AA48" s="43" t="s">
        <v>54</v>
      </c>
      <c r="AB48" s="43" t="s">
        <v>54</v>
      </c>
      <c r="AC48" s="46" t="s">
        <v>54</v>
      </c>
      <c r="AD48" s="46" t="s">
        <v>54</v>
      </c>
      <c r="AE48" s="46" t="s">
        <v>54</v>
      </c>
    </row>
    <row r="49" spans="1:32" customHeight="1" ht="15.75" s="14" customFormat="1">
      <c r="B49" s="43" t="s">
        <v>112</v>
      </c>
      <c r="C49" s="43" t="s">
        <v>54</v>
      </c>
      <c r="D49" s="43" t="s">
        <v>54</v>
      </c>
      <c r="E49" s="43" t="s">
        <v>54</v>
      </c>
      <c r="F49" s="44" t="s">
        <v>54</v>
      </c>
      <c r="G49" s="43" t="s">
        <v>54</v>
      </c>
      <c r="H49" s="43" t="s">
        <v>54</v>
      </c>
      <c r="I49" s="43" t="s">
        <v>54</v>
      </c>
      <c r="J49" s="43" t="s">
        <v>54</v>
      </c>
      <c r="K49" s="43" t="s">
        <v>54</v>
      </c>
      <c r="L49" s="43" t="s">
        <v>54</v>
      </c>
      <c r="M49" s="43" t="s">
        <v>54</v>
      </c>
      <c r="N49" s="43" t="s">
        <v>54</v>
      </c>
      <c r="O49" s="43" t="s">
        <v>54</v>
      </c>
      <c r="P49" s="43" t="s">
        <v>54</v>
      </c>
      <c r="Q49" s="43" t="s">
        <v>54</v>
      </c>
      <c r="R49" s="43" t="s">
        <v>54</v>
      </c>
      <c r="S49" s="43" t="s">
        <v>54</v>
      </c>
      <c r="T49" s="43" t="s">
        <v>54</v>
      </c>
      <c r="U49" s="43" t="s">
        <v>54</v>
      </c>
      <c r="V49" s="43" t="s">
        <v>54</v>
      </c>
      <c r="W49" s="43" t="s">
        <v>54</v>
      </c>
      <c r="X49" s="43" t="s">
        <v>54</v>
      </c>
      <c r="Y49" s="43" t="s">
        <v>54</v>
      </c>
      <c r="Z49" s="43" t="s">
        <v>54</v>
      </c>
      <c r="AA49" s="43" t="s">
        <v>54</v>
      </c>
      <c r="AB49" s="43" t="s">
        <v>54</v>
      </c>
      <c r="AC49" s="46" t="s">
        <v>54</v>
      </c>
      <c r="AD49" s="46" t="s">
        <v>54</v>
      </c>
      <c r="AE49" s="46" t="s">
        <v>54</v>
      </c>
    </row>
    <row r="50" spans="1:32" customHeight="1" ht="15.75" s="14" customFormat="1">
      <c r="B50" s="43" t="s">
        <v>113</v>
      </c>
      <c r="C50" s="43">
        <v>753198.0</v>
      </c>
      <c r="D50" s="43">
        <v>9053480.0</v>
      </c>
      <c r="E50" s="43" t="s">
        <v>114</v>
      </c>
      <c r="F50" s="44" t="s">
        <v>115</v>
      </c>
      <c r="G50" s="43" t="s">
        <v>54</v>
      </c>
      <c r="H50" s="43" t="s">
        <v>54</v>
      </c>
      <c r="I50" s="43" t="s">
        <v>54</v>
      </c>
      <c r="J50" s="43" t="s">
        <v>54</v>
      </c>
      <c r="K50" s="43" t="s">
        <v>54</v>
      </c>
      <c r="L50" s="43" t="s">
        <v>54</v>
      </c>
      <c r="M50" s="43" t="s">
        <v>54</v>
      </c>
      <c r="N50" s="43" t="s">
        <v>54</v>
      </c>
      <c r="O50" s="43" t="s">
        <v>54</v>
      </c>
      <c r="P50" s="43" t="s">
        <v>54</v>
      </c>
      <c r="Q50" s="43" t="s">
        <v>54</v>
      </c>
      <c r="R50" s="43" t="s">
        <v>54</v>
      </c>
      <c r="S50" s="43" t="s">
        <v>54</v>
      </c>
      <c r="T50" s="43" t="s">
        <v>54</v>
      </c>
      <c r="U50" s="43" t="s">
        <v>54</v>
      </c>
      <c r="V50" s="43" t="s">
        <v>54</v>
      </c>
      <c r="W50" s="43" t="s">
        <v>54</v>
      </c>
      <c r="X50" s="43" t="s">
        <v>54</v>
      </c>
      <c r="Y50" s="43" t="s">
        <v>54</v>
      </c>
      <c r="Z50" s="43" t="s">
        <v>54</v>
      </c>
      <c r="AA50" s="43" t="s">
        <v>54</v>
      </c>
      <c r="AB50" s="43" t="s">
        <v>54</v>
      </c>
      <c r="AC50" s="46" t="s">
        <v>54</v>
      </c>
      <c r="AD50" s="46" t="s">
        <v>54</v>
      </c>
      <c r="AE50" s="46" t="s">
        <v>54</v>
      </c>
    </row>
    <row r="51" spans="1:32" customHeight="1" ht="15.75" s="13" customFormat="1">
      <c r="B51" s="27" t="inlineStr">
        <is>
          <r>
            <t xml:space="preserve">*No se realiza metodo microbiológico requerido para aguas catergia 3 - ECAS. Metodo utilizado para agua subterránea -  Siembra en placa.</t>
          </r>
        </is>
      </c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5"/>
      <c r="R51" s="11">
        <v>0</v>
      </c>
      <c r="S51" s="22">
        <v>0</v>
      </c>
      <c r="T51" s="22">
        <v>0</v>
      </c>
      <c r="U51" s="22">
        <v>0</v>
      </c>
      <c r="V51" s="22">
        <v>0</v>
      </c>
      <c r="W51" s="22">
        <v>0</v>
      </c>
      <c r="X51" s="22">
        <v>0</v>
      </c>
      <c r="Y51" s="22">
        <v>0</v>
      </c>
      <c r="Z51" s="22">
        <v>0</v>
      </c>
      <c r="AA51" s="22">
        <v>0</v>
      </c>
      <c r="AB51" s="22">
        <v>0</v>
      </c>
      <c r="AC51" s="22">
        <v>0</v>
      </c>
      <c r="AD51" s="22">
        <v>0</v>
      </c>
      <c r="AE51" s="22">
        <v>0</v>
      </c>
    </row>
    <row r="52" spans="1:32" customHeight="1" ht="24.75">
      <c r="B52" s="21" t="inlineStr">
        <is>
          <r>
            <t xml:space="preserve">+ No se realizó análisis. Pozo inaccesible</t>
          </r>
        </is>
      </c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8">
        <v>0</v>
      </c>
      <c r="O52" s="15">
        <v>0</v>
      </c>
      <c r="P52" s="21">
        <v>0</v>
      </c>
      <c r="Q52" s="21">
        <v>0</v>
      </c>
      <c r="R52" s="21">
        <v>0</v>
      </c>
      <c r="S52" s="22">
        <v>0</v>
      </c>
      <c r="T52" s="22">
        <v>0</v>
      </c>
      <c r="U52" s="22">
        <v>0</v>
      </c>
      <c r="V52" s="22">
        <v>0</v>
      </c>
      <c r="W52" s="22">
        <v>0</v>
      </c>
      <c r="X52" s="22">
        <v>0</v>
      </c>
      <c r="Y52" s="22">
        <v>0</v>
      </c>
      <c r="Z52" s="22">
        <v>0</v>
      </c>
      <c r="AA52" s="22">
        <v>0</v>
      </c>
      <c r="AB52" s="22">
        <v>0</v>
      </c>
      <c r="AC52" s="22">
        <v>0</v>
      </c>
      <c r="AD52" s="22">
        <v>0</v>
      </c>
      <c r="AE52" s="22">
        <v>0</v>
      </c>
    </row>
    <row r="53" spans="1:32" customHeight="1" ht="15.75">
      <c r="B53" s="29">
        <v>0</v>
      </c>
      <c r="C53" s="21">
        <v>0</v>
      </c>
      <c r="D53" s="21">
        <v>0</v>
      </c>
      <c r="E53" s="21">
        <v>0</v>
      </c>
      <c r="F53" s="21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10">
        <v>0</v>
      </c>
      <c r="O53" s="16">
        <v>0</v>
      </c>
      <c r="P53" s="9">
        <v>0</v>
      </c>
      <c r="Q53" s="9">
        <v>0</v>
      </c>
      <c r="R53" s="9">
        <v>0</v>
      </c>
      <c r="S53" s="17">
        <v>0</v>
      </c>
      <c r="T53" s="17">
        <v>0</v>
      </c>
      <c r="U53" s="17">
        <v>0</v>
      </c>
      <c r="V53" s="17">
        <v>0</v>
      </c>
      <c r="W53" s="17">
        <v>0</v>
      </c>
      <c r="X53" s="17">
        <v>0</v>
      </c>
      <c r="Y53" s="17">
        <v>0</v>
      </c>
      <c r="Z53" s="17">
        <v>0</v>
      </c>
      <c r="AA53" s="17">
        <v>0</v>
      </c>
      <c r="AB53" s="17">
        <v>0</v>
      </c>
      <c r="AC53" s="16">
        <v>37</v>
      </c>
      <c r="AD53" s="16">
        <v>23</v>
      </c>
      <c r="AE53" s="16">
        <v>22</v>
      </c>
    </row>
    <row r="54" spans="1:32" customHeight="1" ht="15.75" s="13" customFormat="1">
      <c r="B54" s="22">
        <v>0</v>
      </c>
      <c r="C54" s="22">
        <v>0</v>
      </c>
      <c r="D54" s="22">
        <v>0</v>
      </c>
      <c r="E54" s="22">
        <v>0</v>
      </c>
      <c r="F54" s="22">
        <v>0</v>
      </c>
      <c r="G54" s="23" t="str">
        <f>(G53*100)/39</f>
        <v>=(G53*100)/39</v>
      </c>
      <c r="H54" s="23" t="str">
        <f>(H53*100)/39</f>
        <v>=(H53*100)/39</v>
      </c>
      <c r="I54" s="23" t="str">
        <f>(I53*100)/39</f>
        <v>=(I53*100)/39</v>
      </c>
      <c r="J54" s="23" t="str">
        <f>(J53*100)/39</f>
        <v>=(J53*100)/39</v>
      </c>
      <c r="K54" s="23" t="str">
        <f>(K53*100)/39</f>
        <v>=(K53*100)/39</v>
      </c>
      <c r="L54" s="23" t="str">
        <f>(L53*100)/39</f>
        <v>=(L53*100)/39</v>
      </c>
      <c r="M54" s="23" t="str">
        <f>(M53*100)/39</f>
        <v>=(M53*100)/39</v>
      </c>
      <c r="N54" s="23" t="str">
        <f>(N53*100)/39</f>
        <v>=(N53*100)/39</v>
      </c>
      <c r="O54" s="23" t="str">
        <f>(O53*100)/39</f>
        <v>=(O53*100)/39</v>
      </c>
      <c r="P54" s="23" t="str">
        <f>(P53*100)/39</f>
        <v>=(P53*100)/39</v>
      </c>
      <c r="Q54" s="23" t="str">
        <f>(Q53*100)/39</f>
        <v>=(Q53*100)/39</v>
      </c>
      <c r="R54" s="23" t="str">
        <f>(R53*100)/39</f>
        <v>=(R53*100)/39</v>
      </c>
      <c r="S54" s="23" t="str">
        <f>(S53*100)/39</f>
        <v>=(S53*100)/39</v>
      </c>
      <c r="T54" s="23" t="str">
        <f>(T53*100)/39</f>
        <v>=(T53*100)/39</v>
      </c>
      <c r="U54" s="23" t="str">
        <f>(U53*100)/39</f>
        <v>=(U53*100)/39</v>
      </c>
      <c r="V54" s="23" t="str">
        <f>(V53*100)/39</f>
        <v>=(V53*100)/39</v>
      </c>
      <c r="W54" s="23" t="str">
        <f>(W53*100)/39</f>
        <v>=(W53*100)/39</v>
      </c>
      <c r="X54" s="23" t="str">
        <f>(X53*100)/39</f>
        <v>=(X53*100)/39</v>
      </c>
      <c r="Y54" s="23" t="str">
        <f>(Y53*100)/39</f>
        <v>=(Y53*100)/39</v>
      </c>
      <c r="Z54" s="23" t="str">
        <f>(Z53*100)/39</f>
        <v>=(Z53*100)/39</v>
      </c>
      <c r="AA54" s="23" t="str">
        <f>(AA53*100)/39</f>
        <v>=(AA53*100)/39</v>
      </c>
      <c r="AB54" s="23" t="str">
        <f>(AB53*100)/39</f>
        <v>=(AB53*100)/39</v>
      </c>
      <c r="AC54" s="23" t="str">
        <f>(AC53*100)/37</f>
        <v>=(AC53*100)/37</v>
      </c>
      <c r="AD54" s="23" t="str">
        <f>(AD53*100)/37</f>
        <v>=(AD53*100)/37</v>
      </c>
      <c r="AE54" s="23" t="str">
        <f>(AE53*100)/37</f>
        <v>=(AE53*100)/37</v>
      </c>
    </row>
    <row r="55" spans="1:32" customHeight="1" ht="15.75" s="14" customFormat="1">
      <c r="B55" s="22">
        <v>0</v>
      </c>
      <c r="C55" s="22">
        <v>0</v>
      </c>
      <c r="D55" s="22" t="inlineStr">
        <is>
          <r>
            <t xml:space="preserve">RIEGO DE VEGETALES</t>
          </r>
        </is>
      </c>
      <c r="E55" s="24"/>
      <c r="F55" s="24"/>
      <c r="G55" s="23" t="inlineStr">
        <is>
          <r>
            <t xml:space="preserve">&gt;15</t>
          </r>
        </is>
      </c>
      <c r="H55" s="23">
        <v>0</v>
      </c>
      <c r="I55" s="23">
        <v>0</v>
      </c>
      <c r="J55" s="23">
        <v>0</v>
      </c>
      <c r="K55" s="23">
        <v>0</v>
      </c>
      <c r="L55" s="23">
        <v>0</v>
      </c>
      <c r="M55" s="23">
        <v>0</v>
      </c>
      <c r="N55" s="23" t="inlineStr">
        <is>
          <r>
            <t xml:space="preserve">&gt;41</t>
          </r>
        </is>
      </c>
      <c r="O55" s="23" t="inlineStr">
        <is>
          <r>
            <t xml:space="preserve">&lt;58&gt;</t>
          </r>
        </is>
      </c>
      <c r="P55" s="23">
        <v>0</v>
      </c>
      <c r="Q55" s="23" t="inlineStr">
        <is>
          <r>
            <t xml:space="preserve">&lt;14&gt;</t>
          </r>
        </is>
      </c>
      <c r="R55" s="23">
        <v>0</v>
      </c>
      <c r="S55" s="23">
        <v>0</v>
      </c>
      <c r="T55" s="23">
        <v>0</v>
      </c>
      <c r="U55" s="23">
        <v>0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0</v>
      </c>
      <c r="AB55" s="23">
        <v>0</v>
      </c>
      <c r="AC55" s="23">
        <v>0</v>
      </c>
      <c r="AD55" s="23">
        <v>0</v>
      </c>
      <c r="AE55" s="23">
        <v>0</v>
      </c>
    </row>
    <row r="56" spans="1:32" customHeight="1" ht="24.75" s="13" customFormat="1">
      <c r="B56" s="22">
        <v>0</v>
      </c>
      <c r="C56" s="22">
        <v>0</v>
      </c>
      <c r="D56" s="22" t="inlineStr">
        <is>
          <r>
            <t xml:space="preserve">CONSUMO DE ANIMALES</t>
          </r>
        </is>
      </c>
      <c r="E56" s="24"/>
      <c r="F56" s="24"/>
      <c r="G56" s="23" t="inlineStr">
        <is>
          <r>
            <t xml:space="preserve">&gt;1</t>
          </r>
        </is>
      </c>
      <c r="H56" s="23">
        <v>0</v>
      </c>
      <c r="I56" s="23">
        <v>0</v>
      </c>
      <c r="J56" s="23">
        <v>0</v>
      </c>
      <c r="K56" s="23">
        <v>0</v>
      </c>
      <c r="L56" s="23">
        <v>0</v>
      </c>
      <c r="M56" s="24"/>
      <c r="N56" s="23" t="inlineStr">
        <is>
          <r>
            <t xml:space="preserve">&gt;34</t>
          </r>
        </is>
      </c>
      <c r="O56" s="24"/>
      <c r="P56" s="23">
        <v>0</v>
      </c>
      <c r="Q56" s="24"/>
      <c r="R56" s="23">
        <v>0</v>
      </c>
      <c r="S56" s="23">
        <v>0</v>
      </c>
      <c r="T56" s="23">
        <v>0</v>
      </c>
      <c r="U56" s="23">
        <v>0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0</v>
      </c>
      <c r="AB56" s="23">
        <v>0</v>
      </c>
      <c r="AC56" s="23">
        <v>0</v>
      </c>
      <c r="AD56" s="23">
        <v>0</v>
      </c>
      <c r="AE56" s="23">
        <v>0</v>
      </c>
    </row>
    <row r="57" spans="1:32" customHeight="1" ht="24.75" s="13" customFormat="1">
      <c r="B57" s="22">
        <v>0</v>
      </c>
      <c r="C57" s="22">
        <v>0</v>
      </c>
      <c r="D57" s="22" t="inlineStr">
        <is>
          <r>
            <t xml:space="preserve">HUMANO</t>
          </r>
        </is>
      </c>
      <c r="E57" s="24"/>
      <c r="F57" s="24"/>
      <c r="G57" s="23" t="inlineStr">
        <is>
          <r>
            <t xml:space="preserve">&gt;14</t>
          </r>
        </is>
      </c>
      <c r="H57" s="23">
        <v>0</v>
      </c>
      <c r="I57" s="23" t="inlineStr">
        <is>
          <r>
            <t xml:space="preserve">&gt;16</t>
          </r>
        </is>
      </c>
      <c r="J57" s="23">
        <v>0</v>
      </c>
      <c r="K57" s="23">
        <v>0</v>
      </c>
      <c r="L57" s="23">
        <v>0</v>
      </c>
      <c r="M57" s="23" t="inlineStr">
        <is>
          <r>
            <t xml:space="preserve">&gt;16</t>
          </r>
        </is>
      </c>
      <c r="N57" s="23" t="inlineStr">
        <is>
          <r>
            <t xml:space="preserve">&gt;12</t>
          </r>
        </is>
      </c>
      <c r="O57" s="23" t="inlineStr">
        <is>
          <r>
            <t xml:space="preserve">&lt;23&gt;</t>
          </r>
        </is>
      </c>
      <c r="P57" s="23">
        <v>0</v>
      </c>
      <c r="Q57" s="23" t="inlineStr">
        <is>
          <r>
            <t xml:space="preserve">&lt;16&gt;</t>
          </r>
        </is>
      </c>
      <c r="R57" s="23">
        <v>0</v>
      </c>
      <c r="S57" s="23" t="inlineStr">
        <is>
          <r>
            <t xml:space="preserve">&gt;4</t>
          </r>
        </is>
      </c>
      <c r="T57" s="23">
        <v>0</v>
      </c>
      <c r="U57" s="23">
        <v>0</v>
      </c>
      <c r="V57" s="23" t="inlineStr">
        <is>
          <r>
            <t xml:space="preserve">&gt;12</t>
          </r>
        </is>
      </c>
      <c r="W57" s="23">
        <v>0</v>
      </c>
      <c r="X57" s="23">
        <v>0</v>
      </c>
      <c r="Y57" s="23">
        <v>0</v>
      </c>
      <c r="Z57" s="23">
        <v>0</v>
      </c>
      <c r="AA57" s="23">
        <v>0</v>
      </c>
      <c r="AB57" s="23">
        <v>0</v>
      </c>
      <c r="AC57" s="23">
        <v>0</v>
      </c>
      <c r="AD57" s="23">
        <v>0</v>
      </c>
      <c r="AE57" s="23">
        <v>0</v>
      </c>
    </row>
    <row r="58" spans="1:32" customHeight="1" ht="24.75" s="13" customFormat="1">
      <c r="B58" s="7">
        <v>0</v>
      </c>
      <c r="C58" s="22">
        <v>0</v>
      </c>
      <c r="D58" s="24"/>
      <c r="E58" s="22" t="inlineStr">
        <is>
          <r>
            <t xml:space="preserve">MAX</t>
          </r>
        </is>
      </c>
      <c r="F58" s="22">
        <v>0</v>
      </c>
      <c r="G58" s="30" t="str">
        <f>MAX(G11:G50)</f>
        <v>=MAX(G11:G50)</v>
      </c>
      <c r="H58" s="31" t="str">
        <f>MAX(H11:H50)</f>
        <v>=MAX(H11:H50)</v>
      </c>
      <c r="I58" s="30" t="str">
        <f>MAX(I11:I50)</f>
        <v>=MAX(I11:I50)</v>
      </c>
      <c r="J58" s="32" t="str">
        <f>MAX(J11:J50)</f>
        <v>=MAX(J11:J50)</v>
      </c>
      <c r="K58" s="30" t="str">
        <f>MAX(K11:K50)</f>
        <v>=MAX(K11:K50)</v>
      </c>
      <c r="L58" s="30" t="str">
        <f>MAX(L11:L50)</f>
        <v>=MAX(L11:L50)</v>
      </c>
      <c r="M58" s="30" t="str">
        <f>MAX(M11:M50)</f>
        <v>=MAX(M11:M50)</v>
      </c>
      <c r="N58" s="32" t="str">
        <f>MAX(N11:N50)</f>
        <v>=MAX(N11:N50)</v>
      </c>
      <c r="O58" s="32" t="str">
        <f>MAX(O11:O50)</f>
        <v>=MAX(O11:O50)</v>
      </c>
      <c r="P58" s="30" t="str">
        <f>MAX(P11:P50)</f>
        <v>=MAX(P11:P50)</v>
      </c>
      <c r="Q58" s="32" t="str">
        <f>MAX(Q11:Q50)</f>
        <v>=MAX(Q11:Q50)</v>
      </c>
      <c r="R58" s="32" t="str">
        <f>MAX(R11:R50)</f>
        <v>=MAX(R11:R50)</v>
      </c>
      <c r="S58" s="31" t="str">
        <f>MAX(S11:S50)</f>
        <v>=MAX(S11:S50)</v>
      </c>
      <c r="T58" s="31" t="str">
        <f>MAX(T11:T50)</f>
        <v>=MAX(T11:T50)</v>
      </c>
      <c r="U58" s="30" t="str">
        <f>MAX(U11:U50)</f>
        <v>=MAX(U11:U50)</v>
      </c>
      <c r="V58" s="30" t="str">
        <f>MAX(V11:V50)</f>
        <v>=MAX(V11:V50)</v>
      </c>
      <c r="W58" s="30" t="str">
        <f>MAX(W11:W50)</f>
        <v>=MAX(W11:W50)</v>
      </c>
      <c r="X58" s="30">
        <v>0</v>
      </c>
      <c r="Y58" s="30">
        <v>0</v>
      </c>
      <c r="Z58" s="30">
        <v>0</v>
      </c>
      <c r="AA58" s="30">
        <v>0</v>
      </c>
      <c r="AB58" s="30">
        <v>0</v>
      </c>
      <c r="AC58" s="30" t="str">
        <f>MAX(AC11:AC50)</f>
        <v>=MAX(AC11:AC50)</v>
      </c>
      <c r="AD58" s="30" t="str">
        <f>MAX(AD11:AD50)</f>
        <v>=MAX(AD11:AD50)</v>
      </c>
      <c r="AE58" s="30" t="str">
        <f>MAX(AE11:AE50)</f>
        <v>=MAX(AE11:AE50)</v>
      </c>
    </row>
    <row r="59" spans="1:32" customHeight="1" ht="24.6" s="13" customFormat="1">
      <c r="B59" s="7">
        <v>0</v>
      </c>
      <c r="C59" s="22">
        <v>0</v>
      </c>
      <c r="D59" s="24"/>
      <c r="E59" s="22" t="inlineStr">
        <is>
          <r>
            <t xml:space="preserve">MIN</t>
          </r>
        </is>
      </c>
      <c r="F59" s="22">
        <v>0</v>
      </c>
      <c r="G59" s="33" t="str">
        <f>MIN(G11:G50)</f>
        <v>=MIN(G11:G50)</v>
      </c>
      <c r="H59" s="34" t="str">
        <f>MIN(H11:H50)</f>
        <v>=MIN(H11:H50)</v>
      </c>
      <c r="I59" s="33" t="str">
        <f>MIN(I11:I50)</f>
        <v>=MIN(I11:I50)</v>
      </c>
      <c r="J59" s="35" t="str">
        <f>MIN(J11:J50)</f>
        <v>=MIN(J11:J50)</v>
      </c>
      <c r="K59" s="35" t="str">
        <f>MIN(K11:K50)</f>
        <v>=MIN(K11:K50)</v>
      </c>
      <c r="L59" s="35" t="str">
        <f>MIN(L11:L50)</f>
        <v>=MIN(L11:L50)</v>
      </c>
      <c r="M59" s="33" t="str">
        <f>MIN(M11:M50)</f>
        <v>=MIN(M11:M50)</v>
      </c>
      <c r="N59" s="34" t="str">
        <f>MIN(N11:N50)</f>
        <v>=MIN(N11:N50)</v>
      </c>
      <c r="O59" s="34" t="str">
        <f>MIN(O11:O50)</f>
        <v>=MIN(O11:O50)</v>
      </c>
      <c r="P59" s="33" t="str">
        <f>MIN(P11:P50)</f>
        <v>=MIN(P11:P50)</v>
      </c>
      <c r="Q59" s="35" t="str">
        <f>MIN(Q11:Q50)</f>
        <v>=MIN(Q11:Q50)</v>
      </c>
      <c r="R59" s="34" t="str">
        <f>MIN(R11:R50)</f>
        <v>=MIN(R11:R50)</v>
      </c>
      <c r="S59" s="34" t="str">
        <f>MIN(S11:S50)</f>
        <v>=MIN(S11:S50)</v>
      </c>
      <c r="T59" s="34" t="str">
        <f>MIN(T11:T50)</f>
        <v>=MIN(T11:T50)</v>
      </c>
      <c r="U59" s="33" t="str">
        <f>MIN(U11:U50)</f>
        <v>=MIN(U11:U50)</v>
      </c>
      <c r="V59" s="33" t="str">
        <f>MIN(V11:V50)</f>
        <v>=MIN(V11:V50)</v>
      </c>
      <c r="W59" s="33" t="str">
        <f>MIN(W11:W50)</f>
        <v>=MIN(W11:W50)</v>
      </c>
      <c r="X59" s="34">
        <v>0</v>
      </c>
      <c r="Y59" s="34">
        <v>0</v>
      </c>
      <c r="Z59" s="34">
        <v>0</v>
      </c>
      <c r="AA59" s="34">
        <v>0</v>
      </c>
      <c r="AB59" s="34">
        <v>0</v>
      </c>
      <c r="AC59" s="34" t="str">
        <f>MIN(AC11:AC50)</f>
        <v>=MIN(AC11:AC50)</v>
      </c>
      <c r="AD59" s="33" t="str">
        <f>MIN(AD11:AD50)</f>
        <v>=MIN(AD11:AD50)</v>
      </c>
      <c r="AE59" s="33" t="str">
        <f>MIN(AE11:AE50)</f>
        <v>=MIN(AE11:AE50)</v>
      </c>
    </row>
    <row r="60" spans="1:32" customHeight="1" ht="24.75" s="13" customFormat="1"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18">
        <v>0</v>
      </c>
      <c r="AE60" s="24"/>
    </row>
    <row r="61" spans="1:32" customHeight="1" ht="18.75"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</row>
    <row r="62" spans="1:32" customHeight="1" ht="15.75"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</row>
    <row r="63" spans="1:32" customHeight="1" ht="24.75" s="13" customFormat="1"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</row>
    <row r="64" spans="1:32" customHeight="1" ht="24.75" s="13" customFormat="1"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</row>
    <row r="65" spans="1:32" customHeight="1" ht="24.75"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</row>
    <row r="66" spans="1:32" customHeight="1" ht="24.75" s="14" customFormat="1"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</row>
    <row r="67" spans="1:32" customHeight="1" ht="13.5"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">
        <v>0</v>
      </c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</row>
    <row r="68" spans="1:32" customHeight="1" ht="19.5">
      <c r="C68" s="24"/>
      <c r="D68" s="24"/>
      <c r="E68" s="24"/>
      <c r="F68" s="24"/>
      <c r="G68" s="24"/>
      <c r="H68" s="24"/>
      <c r="I68" s="24"/>
      <c r="J68" s="24"/>
      <c r="K68" s="24"/>
      <c r="L68" s="12">
        <v>0</v>
      </c>
      <c r="M68" s="24"/>
      <c r="N68" s="3">
        <v>0</v>
      </c>
      <c r="O68" s="3">
        <v>0</v>
      </c>
      <c r="P68" s="12" t="inlineStr">
        <is>
          <r>
            <t xml:space="preserve">1 microsiemens/centímetro = 0.001 milisiemens/centímetro</t>
          </r>
        </is>
      </c>
      <c r="Q68" s="12">
        <v>0</v>
      </c>
      <c r="R68" s="12">
        <v>0</v>
      </c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</row>
    <row r="69" spans="1:32" customHeight="1" ht="24.75" s="14" customFormat="1"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</row>
    <row r="70" spans="1:32" customHeight="1" ht="18"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4">
        <v>0</v>
      </c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</row>
    <row r="71" spans="1:32" customHeight="1" ht="18">
      <c r="C71" s="24"/>
      <c r="D71" s="24"/>
      <c r="E71" s="24"/>
      <c r="F71" s="24"/>
      <c r="G71" s="24"/>
      <c r="H71" s="24"/>
      <c r="I71" s="24"/>
      <c r="J71" s="24"/>
      <c r="K71" s="24"/>
      <c r="L71" s="19">
        <v>0</v>
      </c>
      <c r="M71" s="24"/>
      <c r="N71" s="24"/>
      <c r="O71" s="1">
        <v>0</v>
      </c>
      <c r="P71" s="19" t="inlineStr">
        <is>
          <r>
            <t xml:space="preserve">1 mho/centímetro = 1 siemens/centímetro</t>
          </r>
        </is>
      </c>
      <c r="Q71" s="19">
        <v>0</v>
      </c>
      <c r="R71" s="19">
        <v>0</v>
      </c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</row>
    <row r="72" spans="1:32">
      <c r="C72" s="24"/>
      <c r="D72" s="24"/>
      <c r="E72" s="24"/>
      <c r="F72" s="24"/>
      <c r="G72" s="24"/>
      <c r="H72" s="24"/>
      <c r="I72" s="24"/>
      <c r="J72" s="24"/>
      <c r="K72" s="24"/>
      <c r="L72" s="5" t="inlineStr">
        <is>
          <r>
            <t xml:space="preserve">1us</t>
          </r>
        </is>
      </c>
      <c r="M72" s="24"/>
      <c r="N72" s="24"/>
      <c r="O72" s="20">
        <v>0</v>
      </c>
      <c r="P72" s="6" t="inlineStr">
        <is>
          <r>
            <t xml:space="preserve">1 umho</t>
          </r>
        </is>
      </c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</row>
    <row r="73" spans="1:32"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</row>
    <row r="74" spans="1:32"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0">
        <v>0</v>
      </c>
      <c r="Q74" s="24"/>
      <c r="R74" s="24"/>
      <c r="S74" s="18">
        <v>0</v>
      </c>
      <c r="T74" s="18">
        <v>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8">
        <v>0</v>
      </c>
      <c r="AC74" s="18">
        <v>0</v>
      </c>
      <c r="AD74" s="24"/>
      <c r="AE74" s="2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Y6:Y10"/>
    <mergeCell ref="D56:F56"/>
    <mergeCell ref="E6:F7"/>
    <mergeCell ref="C6:D10"/>
    <mergeCell ref="B8:B9"/>
    <mergeCell ref="AC8:AE8"/>
    <mergeCell ref="D55:F55"/>
    <mergeCell ref="E8:F8"/>
    <mergeCell ref="O55:O56"/>
    <mergeCell ref="E10:F10"/>
    <mergeCell ref="AC9:AE9"/>
    <mergeCell ref="Z6:Z10"/>
    <mergeCell ref="E9:F9"/>
    <mergeCell ref="AB6:AB10"/>
    <mergeCell ref="M55:M56"/>
    <mergeCell ref="B51:Q51"/>
    <mergeCell ref="AA6:AA10"/>
    <mergeCell ref="B4:AE4"/>
    <mergeCell ref="P74:R74"/>
    <mergeCell ref="B52:M52"/>
    <mergeCell ref="Q55:Q56"/>
    <mergeCell ref="X6:X10"/>
    <mergeCell ref="D57:F57"/>
  </mergeCells>
  <printOptions gridLines="false" gridLinesSet="true"/>
  <pageMargins left="0.7" right="0.7" top="0.75" bottom="0.75" header="0.3" footer="0.3"/>
  <pageSetup paperSize="9" orientation="portrait" scale="19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SUB. CHAO - 2°- 2026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Ramon Galvez Urrunaga</dc:creator>
  <cp:lastModifiedBy>Sistema Gestion Regantes</cp:lastModifiedBy>
  <dcterms:created xsi:type="dcterms:W3CDTF">2024-05-23T15:52:07-04:00</dcterms:created>
  <dcterms:modified xsi:type="dcterms:W3CDTF">2026-08-24T12:58:26-04:00</dcterms:modified>
  <dc:title/>
  <dc:description/>
  <dc:subject/>
  <cp:keywords/>
  <cp:category/>
</cp:coreProperties>
</file>