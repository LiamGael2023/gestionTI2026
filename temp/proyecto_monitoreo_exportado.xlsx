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856" visibility="visible"/>
  </bookViews>
  <sheets>
    <sheet name="SUB. VIRÚ - 1°- 2026 " sheetId="1" r:id="rId4"/>
  </sheets>
  <definedNames>
    <definedName name="_xlnm.Print_Area" localSheetId="0">'SUB. VIRÚ - 1°- 2026 '!$A$1:$AF$94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<sst xmlns="http://schemas.openxmlformats.org/spreadsheetml/2006/main" uniqueCount="250">
  <si>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r>
      <t xml:space="preserve">RESULTADOS ANÁLISIS FISICOS DE LA CALIDAD DE AGUA SUBTERRANEA VALLE DE VIRÚ
MARZO 2026 - 1° MONITOREO</t>
    </r>
  </si>
  <si>
    <r>
      <t xml:space="preserve">PARAMETRO</t>
    </r>
  </si>
  <si>
    <r>
      <t xml:space="preserve">Coordenada Datum: WGS-84</t>
    </r>
  </si>
  <si>
    <r>
      <t xml:space="preserve">Nº de Pozo de observación</t>
    </r>
  </si>
  <si>
    <r>
      <t xml:space="preserve">Conductividad Eléctrica</t>
    </r>
  </si>
  <si>
    <r>
      <t xml:space="preserve">Ph</t>
    </r>
  </si>
  <si>
    <r>
      <t xml:space="preserve">Sólidos Totales  Disueltos</t>
    </r>
  </si>
  <si>
    <r>
      <t xml:space="preserve">Temperatura</t>
    </r>
  </si>
  <si>
    <r>
      <t xml:space="preserve">Turbidez </t>
    </r>
  </si>
  <si>
    <r>
      <t xml:space="preserve">Nitratos  (NO3-) </t>
    </r>
  </si>
  <si>
    <r>
      <t xml:space="preserve">Nitritos  (NO2-)</t>
    </r>
  </si>
  <si>
    <r>
      <t xml:space="preserve">Cobre (Cu)</t>
    </r>
  </si>
  <si>
    <r>
      <t xml:space="preserve">Cromo Hexavalente (Cr6+)</t>
    </r>
  </si>
  <si>
    <r>
      <t xml:space="preserve">Sulfatos  (SO₄²-)</t>
    </r>
  </si>
  <si>
    <r>
      <t xml:space="preserve">Manganeso (Mn)</t>
    </r>
  </si>
  <si>
    <r>
      <t xml:space="preserve">Zinc (Zn)</t>
    </r>
  </si>
  <si>
    <r>
      <t xml:space="preserve">Hierro (Fe)</t>
    </r>
  </si>
  <si>
    <r>
      <t xml:space="preserve">Amonio 
(NH4) (*)</t>
    </r>
  </si>
  <si>
    <r>
      <t xml:space="preserve">Magnesio
(Mg) (*)</t>
    </r>
  </si>
  <si>
    <r>
      <t xml:space="preserve">Sodio
(Na) (*)</t>
    </r>
  </si>
  <si>
    <r>
      <t xml:space="preserve">Calcio
(Ca)</t>
    </r>
  </si>
  <si>
    <r>
      <t xml:space="preserve">Magnesio
(Mg) (*)
(me/L)</t>
    </r>
  </si>
  <si>
    <r>
      <t xml:space="preserve">Sodio
(Na) (*)
(me/L)</t>
    </r>
  </si>
  <si>
    <r>
      <t xml:space="preserve">Calcio
(Ca) (*)
(me/L)</t>
    </r>
  </si>
  <si>
    <r>
      <t xml:space="preserve">CÁLCULO 
RAS
(Relación de Absorción de Sodio)</t>
    </r>
  </si>
  <si>
    <r>
      <t xml:space="preserve">GRADO DE RESTRICCIÓN</t>
    </r>
  </si>
  <si>
    <r>
      <t xml:space="preserve">Coliformes
Totales</t>
    </r>
  </si>
  <si>
    <r>
      <t xml:space="preserve">Coliformes
Termotolerantes</t>
    </r>
  </si>
  <si>
    <r>
      <t xml:space="preserve">Escherichia coli</t>
    </r>
  </si>
  <si>
    <r>
      <t xml:space="preserve">UM</t>
    </r>
  </si>
  <si>
    <r>
      <t xml:space="preserve">µmho/cm</t>
    </r>
  </si>
  <si>
    <r>
      <t xml:space="preserve">ph</t>
    </r>
  </si>
  <si>
    <r>
      <t xml:space="preserve">mgL-1</t>
    </r>
  </si>
  <si>
    <r>
      <t xml:space="preserve">°C</t>
    </r>
  </si>
  <si>
    <r>
      <t xml:space="preserve">NTU</t>
    </r>
  </si>
  <si>
    <r>
      <t xml:space="preserve">mg/L</t>
    </r>
  </si>
  <si>
    <r>
      <t xml:space="preserve">UFC/100 ml</t>
    </r>
  </si>
  <si>
    <r>
      <t xml:space="preserve">DS N° 004-2017 MINAM</t>
    </r>
  </si>
  <si>
    <r>
      <t xml:space="preserve">Riego deVegetales</t>
    </r>
  </si>
  <si>
    <r>
      <t xml:space="preserve">6,5 – 8,5</t>
    </r>
  </si>
  <si>
    <r>
      <t xml:space="preserve">-</t>
    </r>
  </si>
  <si>
    <r>
      <t xml:space="preserve">0.1 (C.T)</t>
    </r>
  </si>
  <si>
    <r>
      <t xml:space="preserve">*</t>
    </r>
  </si>
  <si>
    <r>
      <t xml:space="preserve">Consumo de Animales</t>
    </r>
  </si>
  <si>
    <r>
      <t xml:space="preserve">6,5 – 8,4</t>
    </r>
  </si>
  <si>
    <r>
      <t xml:space="preserve">1  (C.T)</t>
    </r>
  </si>
  <si>
    <r>
      <t xml:space="preserve">DS N° 031-2010-SA.</t>
    </r>
  </si>
  <si>
    <r>
      <t xml:space="preserve">Consumo Humano</t>
    </r>
  </si>
  <si>
    <r>
      <t xml:space="preserve">1 500</t>
    </r>
  </si>
  <si>
    <r>
      <t xml:space="preserve">6.5-8.5</t>
    </r>
  </si>
  <si>
    <r>
      <t xml:space="preserve">1 000</t>
    </r>
  </si>
  <si>
    <t>M1</t>
  </si>
  <si>
    <t>PM-28A</t>
  </si>
  <si>
    <t>-</t>
  </si>
  <si>
    <t>SEVERO</t>
  </si>
  <si>
    <t>M2</t>
  </si>
  <si>
    <t>PM-9</t>
  </si>
  <si>
    <t>IRHS-13-12-01-908</t>
  </si>
  <si>
    <t>M3</t>
  </si>
  <si>
    <t>V-300B</t>
  </si>
  <si>
    <t>IRHS-13-12-01-1750</t>
  </si>
  <si>
    <t>M4</t>
  </si>
  <si>
    <t>V-292</t>
  </si>
  <si>
    <t>IRHS-13-12-01-900</t>
  </si>
  <si>
    <t>M5</t>
  </si>
  <si>
    <t>V-272</t>
  </si>
  <si>
    <t>IRHS-13-12-01-1778</t>
  </si>
  <si>
    <t>M6</t>
  </si>
  <si>
    <t>V-312A</t>
  </si>
  <si>
    <t>IRHS-13-12-01-872</t>
  </si>
  <si>
    <t>M7</t>
  </si>
  <si>
    <t>V-310H</t>
  </si>
  <si>
    <t>M8</t>
  </si>
  <si>
    <t>V-311F</t>
  </si>
  <si>
    <t>NINGUNO</t>
  </si>
  <si>
    <t>M9</t>
  </si>
  <si>
    <t>V-231</t>
  </si>
  <si>
    <t>IRHS-13-12-01-677</t>
  </si>
  <si>
    <t>M10</t>
  </si>
  <si>
    <t>V-11D</t>
  </si>
  <si>
    <t>LEVE O MODERADO</t>
  </si>
  <si>
    <t>M11</t>
  </si>
  <si>
    <t>V-2D</t>
  </si>
  <si>
    <t>IRHS-13-12-01-1832</t>
  </si>
  <si>
    <t>M12</t>
  </si>
  <si>
    <t>V-187A</t>
  </si>
  <si>
    <t>M13</t>
  </si>
  <si>
    <t>V-29</t>
  </si>
  <si>
    <t>IRHS-13-12-01-620</t>
  </si>
  <si>
    <t>M14</t>
  </si>
  <si>
    <t>V-42A</t>
  </si>
  <si>
    <t>IRHS-13-12-01-594</t>
  </si>
  <si>
    <t>M15</t>
  </si>
  <si>
    <t>V-12A</t>
  </si>
  <si>
    <t>M16</t>
  </si>
  <si>
    <t>V-33B</t>
  </si>
  <si>
    <t>IRHS-13-12-01-690</t>
  </si>
  <si>
    <t>M17</t>
  </si>
  <si>
    <t>V-280B</t>
  </si>
  <si>
    <t>IRHS-13-12-01-706</t>
  </si>
  <si>
    <t>M18</t>
  </si>
  <si>
    <t>V-195</t>
  </si>
  <si>
    <t>IRHS-13-12-01-1152</t>
  </si>
  <si>
    <t>M19</t>
  </si>
  <si>
    <t>V-221C</t>
  </si>
  <si>
    <t>IRHS-13-12-01-493</t>
  </si>
  <si>
    <t>M20</t>
  </si>
  <si>
    <t>V-38A</t>
  </si>
  <si>
    <t>IRHS-13-12-01-564</t>
  </si>
  <si>
    <t>M21</t>
  </si>
  <si>
    <t>V-40</t>
  </si>
  <si>
    <t>IRHS-13-12-01-724</t>
  </si>
  <si>
    <t>M22</t>
  </si>
  <si>
    <t>V-281A</t>
  </si>
  <si>
    <t>IRHS-13-12-01-755</t>
  </si>
  <si>
    <t>M23</t>
  </si>
  <si>
    <t>V-232A</t>
  </si>
  <si>
    <t>IRHS-13-12-01-764</t>
  </si>
  <si>
    <t>M24</t>
  </si>
  <si>
    <t>V-274B</t>
  </si>
  <si>
    <t>IRHS-13-12-01-1754</t>
  </si>
  <si>
    <t>M25</t>
  </si>
  <si>
    <t>V-245A</t>
  </si>
  <si>
    <t>IRHS-13-12-01-813</t>
  </si>
  <si>
    <t>M26</t>
  </si>
  <si>
    <t>V-243E</t>
  </si>
  <si>
    <t>IRHS-13-12-01-849</t>
  </si>
  <si>
    <t>M27</t>
  </si>
  <si>
    <t>V-288A</t>
  </si>
  <si>
    <t>IRHS-13-12-01-802</t>
  </si>
  <si>
    <t>M28</t>
  </si>
  <si>
    <t>V-285E</t>
  </si>
  <si>
    <t>IRHS-13-12-01-838</t>
  </si>
  <si>
    <t>M29</t>
  </si>
  <si>
    <t>V-234C</t>
  </si>
  <si>
    <t>IRHS-13-12-01-1798-SN</t>
  </si>
  <si>
    <t>M30</t>
  </si>
  <si>
    <t>V-103B</t>
  </si>
  <si>
    <t>IRHS-13-12-01-1822</t>
  </si>
  <si>
    <t>M31</t>
  </si>
  <si>
    <t>V-94</t>
  </si>
  <si>
    <t>IRHS-13-12-01-169</t>
  </si>
  <si>
    <t>M32</t>
  </si>
  <si>
    <t>V-105B</t>
  </si>
  <si>
    <t>IRHS-13-12-01-155</t>
  </si>
  <si>
    <t>M33</t>
  </si>
  <si>
    <t>V-106</t>
  </si>
  <si>
    <t>IRHS-13-12-01-1640</t>
  </si>
  <si>
    <t>M34</t>
  </si>
  <si>
    <t>V-84A</t>
  </si>
  <si>
    <t>IRHS-13-12-01-236</t>
  </si>
  <si>
    <t>M35</t>
  </si>
  <si>
    <t>V-47</t>
  </si>
  <si>
    <t>IRHS-13-12-01-281</t>
  </si>
  <si>
    <t>M36</t>
  </si>
  <si>
    <t>V-47C</t>
  </si>
  <si>
    <t>IRHS-13-12-01-174</t>
  </si>
  <si>
    <t>M37</t>
  </si>
  <si>
    <t>V-129A</t>
  </si>
  <si>
    <t>IRHS-13-12-01-315</t>
  </si>
  <si>
    <t>M38</t>
  </si>
  <si>
    <t>V-113B</t>
  </si>
  <si>
    <t>IRHS-13-12-01-296</t>
  </si>
  <si>
    <t>M39</t>
  </si>
  <si>
    <t>V-65B</t>
  </si>
  <si>
    <t>M40</t>
  </si>
  <si>
    <t>V-100B</t>
  </si>
  <si>
    <t>IRHS-13-12-01-399</t>
  </si>
  <si>
    <t>M41</t>
  </si>
  <si>
    <t>V-101C</t>
  </si>
  <si>
    <t>IRHS-13-12-01-1730</t>
  </si>
  <si>
    <t>M42</t>
  </si>
  <si>
    <t>V-131C</t>
  </si>
  <si>
    <t>M43</t>
  </si>
  <si>
    <t>V-143</t>
  </si>
  <si>
    <t>IRHS-13-12-01-1500</t>
  </si>
  <si>
    <t>M44</t>
  </si>
  <si>
    <t>V-138A</t>
  </si>
  <si>
    <t>IRHS-13-12-01-1511</t>
  </si>
  <si>
    <t>M45</t>
  </si>
  <si>
    <t>V-155</t>
  </si>
  <si>
    <t>IRHS-13-12-01-1310</t>
  </si>
  <si>
    <t>M46</t>
  </si>
  <si>
    <t>V-166</t>
  </si>
  <si>
    <t>IRHS-13-12-01-1275</t>
  </si>
  <si>
    <t>M47</t>
  </si>
  <si>
    <t>V-181B</t>
  </si>
  <si>
    <t>IRHS-13-12-01-1240</t>
  </si>
  <si>
    <t>M48</t>
  </si>
  <si>
    <t>V-173</t>
  </si>
  <si>
    <t>IRHS-13-12-01-1364</t>
  </si>
  <si>
    <t>M49</t>
  </si>
  <si>
    <t>V-179A</t>
  </si>
  <si>
    <t>IRHS-13-12-01-1424</t>
  </si>
  <si>
    <t>M50</t>
  </si>
  <si>
    <t>V-148A</t>
  </si>
  <si>
    <t>IRHS-13-12-01-1445</t>
  </si>
  <si>
    <t>M51</t>
  </si>
  <si>
    <t>V-169B</t>
  </si>
  <si>
    <t>IRHS-13-12-01-1205</t>
  </si>
  <si>
    <t>M52</t>
  </si>
  <si>
    <t>V-189</t>
  </si>
  <si>
    <t>IRHS-13-12-01-1171</t>
  </si>
  <si>
    <t>M53</t>
  </si>
  <si>
    <t>V-191B</t>
  </si>
  <si>
    <t>IRHS-13-12-01-1652</t>
  </si>
  <si>
    <t>M54</t>
  </si>
  <si>
    <t>V-268D</t>
  </si>
  <si>
    <t>IRHS-13-12-01-1074</t>
  </si>
  <si>
    <t>M55</t>
  </si>
  <si>
    <t>V-249B</t>
  </si>
  <si>
    <t>IRHS-13-12-01-1112</t>
  </si>
  <si>
    <t>M56</t>
  </si>
  <si>
    <t>V-257C</t>
  </si>
  <si>
    <t>IRHS-13-12-01-968</t>
  </si>
  <si>
    <t>M57</t>
  </si>
  <si>
    <t>V-253D</t>
  </si>
  <si>
    <t>IRHS-13-12-01-934</t>
  </si>
  <si>
    <t>M58</t>
  </si>
  <si>
    <t>V-253A</t>
  </si>
  <si>
    <t>IRHS-13-12-01-926</t>
  </si>
  <si>
    <t>M59</t>
  </si>
  <si>
    <t>V-259</t>
  </si>
  <si>
    <t>IRHS-13-12-01-1024</t>
  </si>
  <si>
    <t>M60</t>
  </si>
  <si>
    <t>V-256B</t>
  </si>
  <si>
    <t>IRHS-13-12-01-1628</t>
  </si>
  <si>
    <r>
      <t xml:space="preserve">*No se realiza metodo microbiológico requerido para aguas catergia 3 - ECAS. Metodo utilizado para agua subterránea -  Siembra en placa.</t>
    </r>
  </si>
  <si>
    <r>
      <t xml:space="preserve">+ No se realizó análisis. Pozo inaccesible</t>
    </r>
  </si>
  <si>
    <r>
      <t xml:space="preserve">RIEGO DE VEGETALES</t>
    </r>
  </si>
  <si>
    <r>
      <t xml:space="preserve">&gt;15</t>
    </r>
  </si>
  <si>
    <r>
      <t xml:space="preserve">&gt;41</t>
    </r>
  </si>
  <si>
    <r>
      <t xml:space="preserve">&lt;58&gt;</t>
    </r>
  </si>
  <si>
    <r>
      <t xml:space="preserve">&lt;14&gt;</t>
    </r>
  </si>
  <si>
    <r>
      <t xml:space="preserve">CONSUMO DE ANIMALES</t>
    </r>
  </si>
  <si>
    <r>
      <t xml:space="preserve">&gt;1</t>
    </r>
  </si>
  <si>
    <r>
      <t xml:space="preserve">&gt;34</t>
    </r>
  </si>
  <si>
    <r>
      <t xml:space="preserve">HUMANO</t>
    </r>
  </si>
  <si>
    <r>
      <t xml:space="preserve">&gt;14</t>
    </r>
  </si>
  <si>
    <r>
      <t xml:space="preserve">&gt;16</t>
    </r>
  </si>
  <si>
    <r>
      <t xml:space="preserve">&gt;12</t>
    </r>
  </si>
  <si>
    <r>
      <t xml:space="preserve">&lt;23&gt;</t>
    </r>
  </si>
  <si>
    <r>
      <t xml:space="preserve">&lt;16&gt;</t>
    </r>
  </si>
  <si>
    <r>
      <t xml:space="preserve">&gt;4</t>
    </r>
  </si>
  <si>
    <r>
      <t xml:space="preserve">MAX</t>
    </r>
  </si>
  <si>
    <r>
      <t xml:space="preserve">MIN</t>
    </r>
  </si>
  <si>
    <r>
      <t xml:space="preserve">1 microsiemens/centímetro = 0.001 milisiemens/centímetro</t>
    </r>
  </si>
  <si>
    <r>
      <t xml:space="preserve">1 mho/centímetro = 1 siemens/centímetro</t>
    </r>
  </si>
  <si>
    <r>
      <t xml:space="preserve">1us</t>
    </r>
  </si>
  <si>
    <r>
      <t xml:space="preserve">1 umho</t>
    </r>
  </si>
</sst>
</file>

<file path=xl/styles.xml><?xml version="1.0" encoding="utf-8"?>
<styleSheet xmlns="http://schemas.openxmlformats.org/spreadsheetml/2006/main" xml:space="preserve">
  <numFmts count="3">
    <numFmt numFmtId="164" formatCode="_ * #,##0_ ;_ * \-#,##0_ ;_ * &quot;-&quot;??_ ;_ @_ "/>
    <numFmt numFmtId="165" formatCode="_ * #,##0.00_ ;_ * \-#,##0.00_ ;_ * &quot;-&quot;??_ ;_ @_ "/>
    <numFmt numFmtId="166" formatCode="_ * #,##0.0_ ;_ * \-#,##0.0_ ;_ * &quot;-&quot;??_ ;_ @_ "/>
  </numFmts>
  <fonts count="1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FF0000"/>
      <name val="Calibri"/>
    </font>
    <font>
      <b val="1"/>
      <i val="0"/>
      <strike val="0"/>
      <u val="none"/>
      <sz val="15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5"/>
      <color rgb="FFFFFFFF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1"/>
      <color rgb="FFFF0000"/>
      <name val="Arial"/>
    </font>
  </fonts>
  <fills count="10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548235"/>
        <bgColor rgb="FFFFFFFF"/>
      </patternFill>
    </fill>
    <fill>
      <patternFill patternType="solid">
        <fgColor rgb="FF548235"/>
        <bgColor rgb="FF000000"/>
      </patternFill>
    </fill>
    <fill>
      <patternFill patternType="solid">
        <fgColor rgb="FFE2EFDA"/>
        <bgColor rgb="FFFFFFFF"/>
      </patternFill>
    </fill>
    <fill>
      <patternFill patternType="solid">
        <fgColor rgb="FFF0FAF0"/>
        <bgColor rgb="FFFFFFFF"/>
      </patternFill>
    </fill>
    <fill>
      <patternFill patternType="solid">
        <fgColor rgb="FFD9E8F5"/>
        <bgColor rgb="FFFFFFFF"/>
      </patternFill>
    </fill>
  </fills>
  <borders count="8">
    <border/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50">
    <xf xfId="0" fontId="0" quotePrefix="1" numFmtId="0" fillId="0" borderId="0" applyFont="0" applyNumberFormat="0" applyFill="0" applyBorder="0" applyAlignment="0">
      <alignment horizontal="general" vertical="bottom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3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4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1" quotePrefix="1" numFmtId="0" fillId="2" borderId="1" applyFont="1" applyNumberFormat="0" applyFill="1" applyBorder="1" applyAlignment="1">
      <alignment horizontal="center" vertical="center" textRotation="0" wrapText="true" shrinkToFit="false"/>
    </xf>
    <xf xfId="0" fontId="1" quotePrefix="1" numFmtId="0" fillId="2" borderId="1" applyFont="1" applyNumberFormat="0" applyFill="1" applyBorder="1" applyAlignment="1">
      <alignment horizontal="center" vertical="center" textRotation="0" wrapText="true" shrinkToFit="false"/>
    </xf>
    <xf xfId="0" fontId="5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5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5" quotePrefix="1" numFmtId="0" fillId="2" borderId="2" applyFont="1" applyNumberFormat="0" applyFill="1" applyBorder="1" applyAlignment="1">
      <alignment horizontal="center" vertical="center" textRotation="0" wrapText="true" shrinkToFit="false"/>
    </xf>
    <xf xfId="0" fontId="5" quotePrefix="1" numFmtId="0" fillId="2" borderId="2" applyFont="1" applyNumberFormat="0" applyFill="1" applyBorder="1" applyAlignment="1">
      <alignment horizontal="center" vertical="center" textRotation="0" wrapText="true" shrinkToFit="false"/>
    </xf>
    <xf xfId="0" fontId="5" quotePrefix="1" numFmtId="0" fillId="0" borderId="3" applyFont="1" applyNumberFormat="0" applyFill="0" applyBorder="1" applyAlignment="1">
      <alignment horizontal="center" vertical="center" textRotation="0" wrapText="true" shrinkToFit="false"/>
    </xf>
    <xf xfId="0" fontId="6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0" quotePrefix="1" numFmtId="0" fillId="2" borderId="0" applyFont="0" applyNumberFormat="0" applyFill="1" applyBorder="0" applyAlignment="1">
      <alignment horizontal="center" vertical="center" textRotation="0" wrapText="false" shrinkToFit="false"/>
    </xf>
    <xf xfId="0" fontId="0" quotePrefix="1" numFmtId="0" fillId="2" borderId="0" applyFont="0" applyNumberFormat="0" applyFill="1" applyBorder="0" applyAlignment="1">
      <alignment horizontal="center" vertical="center" textRotation="0" wrapText="false" shrinkToFit="false"/>
    </xf>
    <xf xfId="0" fontId="5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5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7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0" quotePrefix="1" numFmtId="1" fillId="0" borderId="0" applyFont="0" applyNumberFormat="1" applyFill="0" applyBorder="0" applyAlignment="1">
      <alignment horizontal="center" vertical="center" textRotation="0" wrapText="false" shrinkToFit="false"/>
    </xf>
    <xf xfId="0" fontId="0" quotePrefix="1" numFmtId="0" fillId="3" borderId="0" applyFont="0" applyNumberFormat="0" applyFill="1" applyBorder="0" applyAlignment="1">
      <alignment horizontal="center" vertical="center" textRotation="0" wrapText="false" shrinkToFit="false"/>
    </xf>
    <xf xfId="0" fontId="8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5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7" quotePrefix="1" numFmtId="1" fillId="0" borderId="0" applyFont="1" applyNumberFormat="1" applyFill="0" applyBorder="0" applyAlignment="1">
      <alignment horizontal="center"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center" vertical="center" textRotation="0" wrapText="false" shrinkToFit="false"/>
    </xf>
    <xf xfId="0" fontId="0" quotePrefix="1" numFmtId="0" fillId="0" borderId="4" applyFont="0" applyNumberFormat="0" applyFill="0" applyBorder="1" applyAlignment="0">
      <alignment horizontal="general" vertical="bottom" textRotation="0" wrapText="false" shrinkToFit="false"/>
    </xf>
    <xf xfId="0" fontId="0" quotePrefix="1" numFmtId="164" fillId="2" borderId="0" applyFont="0" applyNumberFormat="1" applyFill="1" applyBorder="0" applyAlignment="1">
      <alignment horizontal="center" vertical="center" textRotation="0" wrapText="false" shrinkToFit="false"/>
    </xf>
    <xf xfId="0" fontId="5" quotePrefix="1" numFmtId="0" fillId="0" borderId="5" applyFont="1" applyNumberFormat="0" applyFill="0" applyBorder="1" applyAlignment="1">
      <alignment horizontal="center" vertical="center" textRotation="0" wrapText="true" shrinkToFit="false"/>
    </xf>
    <xf xfId="0" fontId="0" quotePrefix="1" numFmtId="0" fillId="0" borderId="6" applyFont="0" applyNumberFormat="0" applyFill="0" applyBorder="1" applyAlignment="0">
      <alignment horizontal="general" vertical="bottom" textRotation="0" wrapText="false" shrinkToFit="false"/>
    </xf>
    <xf xfId="0" fontId="5" quotePrefix="1" numFmtId="164" fillId="0" borderId="0" applyFont="1" applyNumberFormat="1" applyFill="0" applyBorder="0" applyAlignment="1">
      <alignment horizontal="center" vertical="center" textRotation="0" wrapText="true" shrinkToFit="false"/>
    </xf>
    <xf xfId="0" fontId="5" quotePrefix="1" numFmtId="164" fillId="4" borderId="0" applyFont="1" applyNumberFormat="1" applyFill="1" applyBorder="0" applyAlignment="1">
      <alignment horizontal="center" vertical="center" textRotation="0" wrapText="false" shrinkToFit="false"/>
    </xf>
    <xf xfId="0" fontId="5" quotePrefix="1" numFmtId="165" fillId="4" borderId="0" applyFont="1" applyNumberFormat="1" applyFill="1" applyBorder="0" applyAlignment="1">
      <alignment horizontal="center" vertical="center" textRotation="0" wrapText="false" shrinkToFit="false"/>
    </xf>
    <xf xfId="0" fontId="5" quotePrefix="1" numFmtId="166" fillId="4" borderId="0" applyFont="1" applyNumberFormat="1" applyFill="1" applyBorder="0" applyAlignment="1">
      <alignment horizontal="center" vertical="center" textRotation="0" wrapText="false" shrinkToFit="false"/>
    </xf>
    <xf xfId="0" fontId="7" quotePrefix="1" numFmtId="164" fillId="0" borderId="0" applyFont="1" applyNumberFormat="1" applyFill="0" applyBorder="0" applyAlignment="1">
      <alignment horizontal="center" vertical="center" textRotation="0" wrapText="false" shrinkToFit="false"/>
    </xf>
    <xf xfId="0" fontId="7" quotePrefix="1" numFmtId="165" fillId="0" borderId="0" applyFont="1" applyNumberFormat="1" applyFill="0" applyBorder="0" applyAlignment="1">
      <alignment horizontal="center" vertical="center" textRotation="0" wrapText="false" shrinkToFit="false"/>
    </xf>
    <xf xfId="0" fontId="7" quotePrefix="1" numFmtId="166" fillId="0" borderId="0" applyFont="1" applyNumberFormat="1" applyFill="0" applyBorder="0" applyAlignment="1">
      <alignment horizontal="center" vertical="center" textRotation="0" wrapText="false" shrinkToFit="false"/>
    </xf>
    <xf xfId="0" fontId="9" quotePrefix="1" numFmtId="0" fillId="5" borderId="7" applyFont="1" applyNumberFormat="0" applyFill="1" applyBorder="1" applyAlignment="1">
      <alignment horizontal="center" vertical="center" textRotation="0" wrapText="true" shrinkToFit="false"/>
    </xf>
    <xf xfId="0" fontId="10" quotePrefix="1" numFmtId="0" fillId="6" borderId="7" applyFont="1" applyNumberFormat="0" applyFill="1" applyBorder="1" applyAlignment="1">
      <alignment horizontal="center" vertical="center" textRotation="0" wrapText="false" shrinkToFit="false"/>
    </xf>
    <xf xfId="0" fontId="11" quotePrefix="1" numFmtId="0" fillId="6" borderId="7" applyFont="1" applyNumberFormat="0" applyFill="1" applyBorder="1" applyAlignment="1">
      <alignment horizontal="center" vertical="center" textRotation="0" wrapText="false" shrinkToFit="false"/>
    </xf>
    <xf xfId="0" fontId="12" quotePrefix="1" numFmtId="0" fillId="5" borderId="7" applyFont="1" applyNumberFormat="0" applyFill="1" applyBorder="1" applyAlignment="1">
      <alignment horizontal="center" vertical="center" textRotation="0" wrapText="true" shrinkToFit="false"/>
    </xf>
    <xf xfId="0" fontId="11" quotePrefix="1" numFmtId="0" fillId="6" borderId="7" applyFont="1" applyNumberFormat="0" applyFill="1" applyBorder="1" applyAlignment="0">
      <alignment horizontal="general" vertical="bottom" textRotation="0" wrapText="false" shrinkToFit="false"/>
    </xf>
    <xf xfId="0" fontId="9" quotePrefix="1" numFmtId="3" fillId="5" borderId="7" applyFont="1" applyNumberFormat="1" applyFill="1" applyBorder="1" applyAlignment="1">
      <alignment horizontal="center" vertical="center" textRotation="0" wrapText="true" shrinkToFit="false"/>
    </xf>
    <xf xfId="0" fontId="13" quotePrefix="1" numFmtId="0" fillId="5" borderId="7" applyFont="1" applyNumberFormat="0" applyFill="1" applyBorder="1" applyAlignment="1">
      <alignment horizontal="center" vertical="center" textRotation="0" wrapText="true" shrinkToFit="false"/>
    </xf>
    <xf xfId="0" fontId="7" quotePrefix="1" numFmtId="0" fillId="7" borderId="7" applyFont="1" applyNumberFormat="0" applyFill="1" applyBorder="1" applyAlignment="1">
      <alignment horizontal="center" vertical="center" textRotation="0" wrapText="true" shrinkToFit="false"/>
    </xf>
    <xf xfId="0" fontId="14" quotePrefix="1" numFmtId="0" fillId="7" borderId="7" applyFont="1" applyNumberFormat="0" applyFill="1" applyBorder="1" applyAlignment="1">
      <alignment horizontal="center" vertical="center" textRotation="0" wrapText="true" shrinkToFit="false"/>
    </xf>
    <xf xfId="0" fontId="15" quotePrefix="1" numFmtId="0" fillId="7" borderId="7" applyFont="1" applyNumberFormat="0" applyFill="1" applyBorder="1" applyAlignment="1">
      <alignment horizontal="center" vertical="center" textRotation="0" wrapText="true" shrinkToFit="false"/>
    </xf>
    <xf xfId="0" fontId="7" quotePrefix="1" numFmtId="0" fillId="8" borderId="7" applyFont="1" applyNumberFormat="0" applyFill="1" applyBorder="1" applyAlignment="1">
      <alignment horizontal="center" vertical="center" textRotation="0" wrapText="true" shrinkToFit="false"/>
    </xf>
    <xf xfId="0" fontId="7" quotePrefix="1" numFmtId="0" fillId="9" borderId="7" applyFont="1" applyNumberFormat="0" applyFill="1" applyBorder="1" applyAlignment="1">
      <alignment horizontal="center" vertical="center" textRotation="0" wrapText="true" shrinkToFit="false"/>
    </xf>
    <xf xfId="0" fontId="14" quotePrefix="1" numFmtId="0" fillId="9" borderId="7" applyFont="1" applyNumberFormat="0" applyFill="1" applyBorder="1" applyAlignment="1">
      <alignment horizontal="center" vertical="center" textRotation="0" wrapText="true" shrinkToFit="false"/>
    </xf>
    <xf xfId="0" fontId="15" quotePrefix="1" numFmtId="0" fillId="9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F94"/>
  <sheetViews>
    <sheetView tabSelected="1" workbookViewId="0" zoomScale="98" zoomScaleNormal="145" view="pageBreakPreview" showGridLines="false" showRowColHeaders="1">
      <pane xSplit="2" ySplit="10" topLeftCell="O11" activePane="bottomRight" state="frozen"/>
      <selection pane="topRight"/>
      <selection pane="bottomLeft"/>
      <selection pane="bottomRight" activeCell="V70" sqref="V70"/>
    </sheetView>
  </sheetViews>
  <sheetFormatPr defaultRowHeight="14.4" defaultColWidth="11.42578125" outlineLevelRow="0" outlineLevelCol="0"/>
  <cols>
    <col min="1" max="1" width="11.42578125" style="24"/>
    <col min="2" max="2" width="24.28515625" customWidth="true" style="24"/>
    <col min="3" max="3" width="11" customWidth="true" style="24"/>
    <col min="4" max="4" width="11.28515625" customWidth="true" style="24"/>
    <col min="5" max="5" width="10.7109375" customWidth="true" style="24"/>
    <col min="6" max="6" width="16.7109375" customWidth="true" style="24"/>
    <col min="7" max="7" width="15.5703125" customWidth="true" style="24"/>
    <col min="8" max="8" width="11.42578125" style="24"/>
    <col min="9" max="9" width="15.28515625" customWidth="true" style="24"/>
    <col min="10" max="10" width="16.7109375" customWidth="true" style="24"/>
    <col min="11" max="11" width="11.42578125" style="24"/>
    <col min="12" max="12" width="12.140625" customWidth="true" style="24"/>
    <col min="13" max="13" width="11.42578125" style="24"/>
    <col min="14" max="14" width="11.42578125" style="24"/>
    <col min="15" max="15" width="16.42578125" customWidth="true" style="24"/>
    <col min="16" max="16" width="12.28515625" customWidth="true" style="24"/>
    <col min="17" max="17" width="14.85546875" customWidth="true" style="24"/>
    <col min="18" max="18" width="12.7109375" customWidth="true" style="24"/>
    <col min="19" max="19" width="13.7109375" customWidth="true" style="24"/>
    <col min="20" max="20" width="13.7109375" customWidth="true" style="24"/>
    <col min="21" max="21" width="13.7109375" customWidth="true" style="24"/>
    <col min="22" max="22" width="13.7109375" customWidth="true" style="24"/>
    <col min="23" max="23" width="13.7109375" customWidth="true" style="24"/>
    <col min="24" max="24" width="13.7109375" customWidth="true" style="24"/>
    <col min="25" max="25" width="13.7109375" customWidth="true" style="24"/>
    <col min="26" max="26" width="13.7109375" customWidth="true" style="24"/>
    <col min="27" max="27" width="13.7109375" customWidth="true" style="24"/>
    <col min="28" max="28" width="23.28515625" customWidth="true" style="24"/>
    <col min="29" max="29" width="13.7109375" customWidth="true" style="24"/>
    <col min="30" max="30" width="20.28515625" customWidth="true" style="24"/>
    <col min="31" max="31" width="18.7109375" customWidth="true" style="24"/>
    <col min="32" max="32" width="11.42578125" style="24"/>
  </cols>
  <sheetData>
    <row r="2" spans="1:32" customHeight="1" ht="11.25">
      <c r="U2" s="24">
        <v>24.305</v>
      </c>
      <c r="V2" s="24">
        <v>22.989</v>
      </c>
      <c r="W2" s="24">
        <v>40.078</v>
      </c>
    </row>
    <row r="3" spans="1:32" customHeight="1" ht="12">
      <c r="U3" s="24">
        <v>2</v>
      </c>
      <c r="V3" s="24">
        <v>1</v>
      </c>
      <c r="W3" s="24">
        <v>2</v>
      </c>
    </row>
    <row r="4" spans="1:32" customHeight="1" ht="39" s="12" customFormat="1">
      <c r="A4" s="37"/>
      <c r="B4" s="39" t="inlineStr">
        <is>
          <r>
            <t xml:space="preserve">RESULTADOS ANÁLISIS FISICOS DE LA CALIDAD DE AGUA SUBTERRANEA VALLE DE VIRÚ
MARZO 2026 - 1° MONITOREO</t>
          </r>
        </is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37"/>
    </row>
    <row r="5" spans="1:32" customHeight="1" ht="2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</row>
    <row r="6" spans="1:32" customHeight="1" ht="45.75">
      <c r="A6" s="38"/>
      <c r="B6" s="36" t="inlineStr">
        <is>
          <r>
            <t xml:space="preserve">PARAMETRO</t>
          </r>
        </is>
      </c>
      <c r="C6" s="36" t="inlineStr">
        <is>
          <r>
            <t xml:space="preserve">Coordenada Datum: WGS-84</t>
          </r>
        </is>
      </c>
      <c r="D6" s="40"/>
      <c r="E6" s="36" t="inlineStr">
        <is>
          <r>
            <t xml:space="preserve">Nº de Pozo de observación</t>
          </r>
        </is>
      </c>
      <c r="F6" s="40"/>
      <c r="G6" s="36" t="inlineStr">
        <is>
          <r>
            <t xml:space="preserve">Conductividad Eléctrica</t>
          </r>
        </is>
      </c>
      <c r="H6" s="36" t="inlineStr">
        <is>
          <r>
            <t xml:space="preserve">Ph</t>
          </r>
        </is>
      </c>
      <c r="I6" s="36" t="inlineStr">
        <is>
          <r>
            <t xml:space="preserve">Sólidos Totales  Disueltos</t>
          </r>
        </is>
      </c>
      <c r="J6" s="36" t="inlineStr">
        <is>
          <r>
            <t xml:space="preserve">Temperatura</t>
          </r>
        </is>
      </c>
      <c r="K6" s="36" t="inlineStr">
        <is>
          <r>
            <t xml:space="preserve">Turbidez </t>
          </r>
        </is>
      </c>
      <c r="L6" s="42" t="inlineStr">
        <is>
          <r>
            <t xml:space="preserve">Nitratos  (NO3-) </t>
          </r>
        </is>
      </c>
      <c r="M6" s="36" t="inlineStr">
        <is>
          <r>
            <t xml:space="preserve">Nitritos  (NO2-)</t>
          </r>
        </is>
      </c>
      <c r="N6" s="36" t="inlineStr">
        <is>
          <r>
            <t xml:space="preserve">Cobre (Cu)</t>
          </r>
        </is>
      </c>
      <c r="O6" s="36" t="inlineStr">
        <is>
          <r>
            <t xml:space="preserve">Cromo Hexavalente (Cr6+)</t>
          </r>
        </is>
      </c>
      <c r="P6" s="36" t="inlineStr">
        <is>
          <r>
            <t xml:space="preserve">Sulfatos  (SO₄²-)</t>
          </r>
        </is>
      </c>
      <c r="Q6" s="36" t="inlineStr">
        <is>
          <r>
            <t xml:space="preserve">Manganeso (Mn)</t>
          </r>
        </is>
      </c>
      <c r="R6" s="36" t="inlineStr">
        <is>
          <r>
            <t xml:space="preserve">Zinc (Zn)</t>
          </r>
        </is>
      </c>
      <c r="S6" s="36" t="inlineStr">
        <is>
          <r>
            <t xml:space="preserve">Hierro (Fe)</t>
          </r>
        </is>
      </c>
      <c r="T6" s="36" t="inlineStr">
        <is>
          <r>
            <t xml:space="preserve">Amonio 
(NH4) (*)</t>
          </r>
        </is>
      </c>
      <c r="U6" s="36" t="inlineStr">
        <is>
          <r>
            <t xml:space="preserve">Magnesio
(Mg) (*)</t>
          </r>
        </is>
      </c>
      <c r="V6" s="36" t="inlineStr">
        <is>
          <r>
            <t xml:space="preserve">Sodio
(Na) (*)</t>
          </r>
        </is>
      </c>
      <c r="W6" s="36" t="inlineStr">
        <is>
          <r>
            <t xml:space="preserve">Calcio
(Ca)</t>
          </r>
        </is>
      </c>
      <c r="X6" s="36" t="inlineStr">
        <is>
          <r>
            <t xml:space="preserve">Magnesio
(Mg) (*)
(me/L)</t>
          </r>
        </is>
      </c>
      <c r="Y6" s="36" t="inlineStr">
        <is>
          <r>
            <t xml:space="preserve">Sodio
(Na) (*)
(me/L)</t>
          </r>
        </is>
      </c>
      <c r="Z6" s="36" t="inlineStr">
        <is>
          <r>
            <t xml:space="preserve">Calcio
(Ca) (*)
(me/L)</t>
          </r>
        </is>
      </c>
      <c r="AA6" s="36" t="inlineStr">
        <is>
          <r>
            <t xml:space="preserve">CÁLCULO 
RAS
(Relación de Absorción de Sodio)</t>
          </r>
        </is>
      </c>
      <c r="AB6" s="36" t="inlineStr">
        <is>
          <r>
            <t xml:space="preserve">GRADO DE RESTRICCIÓN</t>
          </r>
        </is>
      </c>
      <c r="AC6" s="36" t="inlineStr">
        <is>
          <r>
            <t xml:space="preserve">Coliformes
Totales</t>
          </r>
        </is>
      </c>
      <c r="AD6" s="36" t="inlineStr">
        <is>
          <r>
            <t xml:space="preserve">Coliformes
Termotolerantes</t>
          </r>
        </is>
      </c>
      <c r="AE6" s="36" t="inlineStr">
        <is>
          <r>
            <t xml:space="preserve">Escherichia coli</t>
          </r>
        </is>
      </c>
      <c r="AF6" s="38"/>
    </row>
    <row r="7" spans="1:32" customHeight="1" ht="15.75">
      <c r="A7" s="38"/>
      <c r="B7" s="36" t="inlineStr">
        <is>
          <r>
            <t xml:space="preserve">UM</t>
          </r>
        </is>
      </c>
      <c r="C7" s="40"/>
      <c r="D7" s="40"/>
      <c r="E7" s="40"/>
      <c r="F7" s="40"/>
      <c r="G7" s="36" t="inlineStr">
        <is>
          <r>
            <t xml:space="preserve">µmho/cm</t>
          </r>
        </is>
      </c>
      <c r="H7" s="36" t="inlineStr">
        <is>
          <r>
            <t xml:space="preserve">ph</t>
          </r>
        </is>
      </c>
      <c r="I7" s="36" t="inlineStr">
        <is>
          <r>
            <t xml:space="preserve">mgL-1</t>
          </r>
        </is>
      </c>
      <c r="J7" s="36" t="inlineStr">
        <is>
          <r>
            <t xml:space="preserve">°C</t>
          </r>
        </is>
      </c>
      <c r="K7" s="36" t="inlineStr">
        <is>
          <r>
            <t xml:space="preserve">NTU</t>
          </r>
        </is>
      </c>
      <c r="L7" s="36" t="inlineStr">
        <is>
          <r>
            <t xml:space="preserve">mg/L</t>
          </r>
        </is>
      </c>
      <c r="M7" s="36" t="inlineStr">
        <is>
          <r>
            <t xml:space="preserve">mg/L</t>
          </r>
        </is>
      </c>
      <c r="N7" s="36" t="inlineStr">
        <is>
          <r>
            <t xml:space="preserve">mg/L</t>
          </r>
        </is>
      </c>
      <c r="O7" s="36" t="inlineStr">
        <is>
          <r>
            <t xml:space="preserve">mg/L</t>
          </r>
        </is>
      </c>
      <c r="P7" s="36" t="inlineStr">
        <is>
          <r>
            <t xml:space="preserve">mg/L</t>
          </r>
        </is>
      </c>
      <c r="Q7" s="36" t="inlineStr">
        <is>
          <r>
            <t xml:space="preserve">mg/L</t>
          </r>
        </is>
      </c>
      <c r="R7" s="36" t="inlineStr">
        <is>
          <r>
            <t xml:space="preserve">mg/L</t>
          </r>
        </is>
      </c>
      <c r="S7" s="36" t="inlineStr">
        <is>
          <r>
            <t xml:space="preserve">mg/L</t>
          </r>
        </is>
      </c>
      <c r="T7" s="36" t="inlineStr">
        <is>
          <r>
            <t xml:space="preserve">mg/L</t>
          </r>
        </is>
      </c>
      <c r="U7" s="36" t="inlineStr">
        <is>
          <r>
            <t xml:space="preserve">mg/L</t>
          </r>
        </is>
      </c>
      <c r="V7" s="36" t="inlineStr">
        <is>
          <r>
            <t xml:space="preserve">mg/L</t>
          </r>
        </is>
      </c>
      <c r="W7" s="36" t="inlineStr">
        <is>
          <r>
            <t xml:space="preserve">mg/L</t>
          </r>
        </is>
      </c>
      <c r="X7" s="40"/>
      <c r="Y7" s="40"/>
      <c r="Z7" s="40"/>
      <c r="AA7" s="40"/>
      <c r="AB7" s="40"/>
      <c r="AC7" s="36" t="inlineStr">
        <is>
          <r>
            <t xml:space="preserve">UFC/100 ml</t>
          </r>
        </is>
      </c>
      <c r="AD7" s="36" t="inlineStr">
        <is>
          <r>
            <t xml:space="preserve">UFC/100 ml</t>
          </r>
        </is>
      </c>
      <c r="AE7" s="36" t="inlineStr">
        <is>
          <r>
            <t xml:space="preserve">UFC/100 ml</t>
          </r>
        </is>
      </c>
      <c r="AF7" s="38"/>
    </row>
    <row r="8" spans="1:32" customHeight="1" ht="15.75">
      <c r="A8" s="38"/>
      <c r="B8" s="36" t="inlineStr">
        <is>
          <r>
            <t xml:space="preserve">DS N° 004-2017 MINAM</t>
          </r>
        </is>
      </c>
      <c r="C8" s="40"/>
      <c r="D8" s="40"/>
      <c r="E8" s="41" t="inlineStr">
        <is>
          <r>
            <t xml:space="preserve">Riego deVegetales</t>
          </r>
        </is>
      </c>
      <c r="F8" s="40"/>
      <c r="G8" s="41">
        <v>2500</v>
      </c>
      <c r="H8" s="36" t="inlineStr">
        <is>
          <r>
            <t xml:space="preserve">6,5 – 8,5</t>
          </r>
        </is>
      </c>
      <c r="I8" s="41" t="inlineStr">
        <is>
          <r>
            <t xml:space="preserve">-</t>
          </r>
        </is>
      </c>
      <c r="J8" s="41" t="inlineStr">
        <is>
          <r>
            <t xml:space="preserve">-</t>
          </r>
        </is>
      </c>
      <c r="K8" s="41" t="inlineStr">
        <is>
          <r>
            <t xml:space="preserve">-</t>
          </r>
        </is>
      </c>
      <c r="L8" s="36">
        <v>100</v>
      </c>
      <c r="M8" s="41">
        <v>10</v>
      </c>
      <c r="N8" s="36">
        <v>0.2</v>
      </c>
      <c r="O8" s="36" t="inlineStr">
        <is>
          <r>
            <t xml:space="preserve">0.1 (C.T)</t>
          </r>
        </is>
      </c>
      <c r="P8" s="36">
        <v>1000</v>
      </c>
      <c r="Q8" s="36">
        <v>0.2</v>
      </c>
      <c r="R8" s="36">
        <v>2</v>
      </c>
      <c r="S8" s="41">
        <v>5</v>
      </c>
      <c r="T8" s="41" t="inlineStr">
        <is>
          <r>
            <t xml:space="preserve">-</t>
          </r>
        </is>
      </c>
      <c r="U8" s="41" t="inlineStr">
        <is>
          <r>
            <t xml:space="preserve">-</t>
          </r>
        </is>
      </c>
      <c r="V8" s="41" t="inlineStr">
        <is>
          <r>
            <t xml:space="preserve">-</t>
          </r>
        </is>
      </c>
      <c r="W8" s="41" t="inlineStr">
        <is>
          <r>
            <t xml:space="preserve">-</t>
          </r>
        </is>
      </c>
      <c r="X8" s="40"/>
      <c r="Y8" s="40"/>
      <c r="Z8" s="40"/>
      <c r="AA8" s="40"/>
      <c r="AB8" s="40"/>
      <c r="AC8" s="36" t="inlineStr">
        <is>
          <r>
            <t xml:space="preserve">*</t>
          </r>
        </is>
      </c>
      <c r="AD8" s="40"/>
      <c r="AE8" s="40"/>
      <c r="AF8" s="38"/>
    </row>
    <row r="9" spans="1:32" customHeight="1" ht="15.75">
      <c r="A9" s="38"/>
      <c r="B9" s="40"/>
      <c r="C9" s="40"/>
      <c r="D9" s="40"/>
      <c r="E9" s="41" t="inlineStr">
        <is>
          <r>
            <t xml:space="preserve">Consumo de Animales</t>
          </r>
        </is>
      </c>
      <c r="F9" s="40"/>
      <c r="G9" s="41">
        <v>5000</v>
      </c>
      <c r="H9" s="36" t="inlineStr">
        <is>
          <r>
            <t xml:space="preserve">6,5 – 8,4</t>
          </r>
        </is>
      </c>
      <c r="I9" s="41" t="inlineStr">
        <is>
          <r>
            <t xml:space="preserve">-</t>
          </r>
        </is>
      </c>
      <c r="J9" s="41" t="inlineStr">
        <is>
          <r>
            <t xml:space="preserve">-</t>
          </r>
        </is>
      </c>
      <c r="K9" s="41" t="inlineStr">
        <is>
          <r>
            <t xml:space="preserve">-</t>
          </r>
        </is>
      </c>
      <c r="L9" s="36">
        <v>100</v>
      </c>
      <c r="M9" s="41">
        <v>10</v>
      </c>
      <c r="N9" s="36">
        <v>0.5</v>
      </c>
      <c r="O9" s="36" t="inlineStr">
        <is>
          <r>
            <t xml:space="preserve">1  (C.T)</t>
          </r>
        </is>
      </c>
      <c r="P9" s="36">
        <v>1000</v>
      </c>
      <c r="Q9" s="36">
        <v>0.2</v>
      </c>
      <c r="R9" s="36">
        <v>24</v>
      </c>
      <c r="S9" s="41" t="inlineStr">
        <is>
          <r>
            <t xml:space="preserve">-</t>
          </r>
        </is>
      </c>
      <c r="T9" s="41" t="inlineStr">
        <is>
          <r>
            <t xml:space="preserve">-</t>
          </r>
        </is>
      </c>
      <c r="U9" s="36">
        <v>250</v>
      </c>
      <c r="V9" s="41" t="inlineStr">
        <is>
          <r>
            <t xml:space="preserve">-</t>
          </r>
        </is>
      </c>
      <c r="W9" s="41" t="inlineStr">
        <is>
          <r>
            <t xml:space="preserve">-</t>
          </r>
        </is>
      </c>
      <c r="X9" s="40"/>
      <c r="Y9" s="40"/>
      <c r="Z9" s="40"/>
      <c r="AA9" s="40"/>
      <c r="AB9" s="40"/>
      <c r="AC9" s="36" t="inlineStr">
        <is>
          <r>
            <t xml:space="preserve">*</t>
          </r>
        </is>
      </c>
      <c r="AD9" s="40"/>
      <c r="AE9" s="40"/>
      <c r="AF9" s="38"/>
    </row>
    <row r="10" spans="1:32" customHeight="1" ht="15.75">
      <c r="A10" s="38"/>
      <c r="B10" s="36" t="inlineStr">
        <is>
          <r>
            <t xml:space="preserve">DS N° 031-2010-SA.</t>
          </r>
        </is>
      </c>
      <c r="C10" s="40"/>
      <c r="D10" s="40"/>
      <c r="E10" s="41" t="inlineStr">
        <is>
          <r>
            <t xml:space="preserve">Consumo Humano</t>
          </r>
        </is>
      </c>
      <c r="F10" s="40"/>
      <c r="G10" s="36" t="inlineStr">
        <is>
          <r>
            <t xml:space="preserve">1 500</t>
          </r>
        </is>
      </c>
      <c r="H10" s="36" t="inlineStr">
        <is>
          <r>
            <t xml:space="preserve">6.5-8.5</t>
          </r>
        </is>
      </c>
      <c r="I10" s="36" t="inlineStr">
        <is>
          <r>
            <t xml:space="preserve">1 000</t>
          </r>
        </is>
      </c>
      <c r="J10" s="36" t="inlineStr">
        <is>
          <r>
            <t xml:space="preserve">-</t>
          </r>
        </is>
      </c>
      <c r="K10" s="36">
        <v>5</v>
      </c>
      <c r="L10" s="36">
        <v>50</v>
      </c>
      <c r="M10" s="36">
        <v>3</v>
      </c>
      <c r="N10" s="36">
        <v>2</v>
      </c>
      <c r="O10" s="36">
        <v>0.05</v>
      </c>
      <c r="P10" s="36">
        <v>250</v>
      </c>
      <c r="Q10" s="36">
        <v>0.4</v>
      </c>
      <c r="R10" s="36">
        <v>3</v>
      </c>
      <c r="S10" s="36">
        <v>0.3</v>
      </c>
      <c r="T10" s="36" t="inlineStr">
        <is>
          <r>
            <t xml:space="preserve">-</t>
          </r>
        </is>
      </c>
      <c r="U10" s="36" t="inlineStr">
        <is>
          <r>
            <t xml:space="preserve">-</t>
          </r>
        </is>
      </c>
      <c r="V10" s="36">
        <v>200</v>
      </c>
      <c r="W10" s="36" t="inlineStr">
        <is>
          <r>
            <t xml:space="preserve">-</t>
          </r>
        </is>
      </c>
      <c r="X10" s="40"/>
      <c r="Y10" s="40"/>
      <c r="Z10" s="40"/>
      <c r="AA10" s="40"/>
      <c r="AB10" s="40"/>
      <c r="AC10" s="36">
        <v>0</v>
      </c>
      <c r="AD10" s="36">
        <v>0</v>
      </c>
      <c r="AE10" s="36">
        <v>0</v>
      </c>
      <c r="AF10" s="38"/>
    </row>
    <row r="11" spans="1:32" customHeight="1" ht="15.75" s="13" customFormat="1">
      <c r="B11" s="47" t="s">
        <v>51</v>
      </c>
      <c r="C11" s="47">
        <v>731803.0</v>
      </c>
      <c r="D11" s="47">
        <v>9071000.0</v>
      </c>
      <c r="E11" s="47" t="s">
        <v>52</v>
      </c>
      <c r="F11" s="48">
        <v>0</v>
      </c>
      <c r="G11" s="49">
        <v>4540.0</v>
      </c>
      <c r="H11" s="47">
        <v>8.02</v>
      </c>
      <c r="I11" s="49">
        <v>2430.0</v>
      </c>
      <c r="J11" s="47">
        <v>23.7</v>
      </c>
      <c r="K11" s="47">
        <v>1.0</v>
      </c>
      <c r="L11" s="47">
        <v>4.1</v>
      </c>
      <c r="M11" s="49">
        <v>4.0</v>
      </c>
      <c r="N11" s="49">
        <v>3.4</v>
      </c>
      <c r="O11" s="47">
        <v>0.04</v>
      </c>
      <c r="P11" s="47">
        <v>94.0</v>
      </c>
      <c r="Q11" s="47">
        <v>0.01</v>
      </c>
      <c r="R11" s="47" t="s">
        <v>53</v>
      </c>
      <c r="S11" s="47">
        <v>0.2</v>
      </c>
      <c r="T11" s="47">
        <v>5.2</v>
      </c>
      <c r="U11" s="47">
        <v>331.0</v>
      </c>
      <c r="V11" s="49">
        <v>1574.0</v>
      </c>
      <c r="W11" s="47">
        <v>631.0</v>
      </c>
      <c r="X11" s="47">
        <v>27.24</v>
      </c>
      <c r="Y11" s="47">
        <v>68.47</v>
      </c>
      <c r="Z11" s="47">
        <v>31.49</v>
      </c>
      <c r="AA11" s="47">
        <v>12.64</v>
      </c>
      <c r="AB11" s="47" t="s">
        <v>54</v>
      </c>
      <c r="AC11" s="47">
        <v>20.0</v>
      </c>
      <c r="AD11" s="47" t="s">
        <v>53</v>
      </c>
      <c r="AE11" s="47" t="s">
        <v>53</v>
      </c>
    </row>
    <row r="12" spans="1:32" customHeight="1" ht="15.75" s="14" customFormat="1">
      <c r="B12" s="43" t="s">
        <v>55</v>
      </c>
      <c r="C12" s="43">
        <v>731796.0</v>
      </c>
      <c r="D12" s="43">
        <v>9070160.0</v>
      </c>
      <c r="E12" s="43" t="s">
        <v>56</v>
      </c>
      <c r="F12" s="44" t="s">
        <v>57</v>
      </c>
      <c r="G12" s="45">
        <v>1638.0</v>
      </c>
      <c r="H12" s="43">
        <v>7.99</v>
      </c>
      <c r="I12" s="43">
        <v>844.0</v>
      </c>
      <c r="J12" s="43">
        <v>23.5</v>
      </c>
      <c r="K12" s="43">
        <v>1.0</v>
      </c>
      <c r="L12" s="43">
        <v>0.4</v>
      </c>
      <c r="M12" s="43">
        <v>1.0</v>
      </c>
      <c r="N12" s="43">
        <v>0.1</v>
      </c>
      <c r="O12" s="43">
        <v>0.05</v>
      </c>
      <c r="P12" s="43">
        <v>92.0</v>
      </c>
      <c r="Q12" s="45">
        <v>1.4</v>
      </c>
      <c r="R12" s="43" t="s">
        <v>53</v>
      </c>
      <c r="S12" s="43">
        <v>0.3</v>
      </c>
      <c r="T12" s="43">
        <v>1.6</v>
      </c>
      <c r="U12" s="43">
        <v>64.0</v>
      </c>
      <c r="V12" s="45">
        <v>458.0</v>
      </c>
      <c r="W12" s="43">
        <v>40.0</v>
      </c>
      <c r="X12" s="43">
        <v>5.27</v>
      </c>
      <c r="Y12" s="43">
        <v>19.92</v>
      </c>
      <c r="Z12" s="43">
        <v>2.0</v>
      </c>
      <c r="AA12" s="43">
        <v>10.45</v>
      </c>
      <c r="AB12" s="43" t="s">
        <v>54</v>
      </c>
      <c r="AC12" s="46" t="s">
        <v>53</v>
      </c>
      <c r="AD12" s="46" t="s">
        <v>53</v>
      </c>
      <c r="AE12" s="46" t="s">
        <v>53</v>
      </c>
    </row>
    <row r="13" spans="1:32" customHeight="1" ht="15.75" s="14" customFormat="1">
      <c r="B13" s="43" t="s">
        <v>58</v>
      </c>
      <c r="C13" s="43">
        <v>732736.0</v>
      </c>
      <c r="D13" s="43">
        <v>9069700.0</v>
      </c>
      <c r="E13" s="43" t="s">
        <v>59</v>
      </c>
      <c r="F13" s="44" t="s">
        <v>60</v>
      </c>
      <c r="G13" s="43">
        <v>707.0</v>
      </c>
      <c r="H13" s="45">
        <v>9.19</v>
      </c>
      <c r="I13" s="43">
        <v>346.0</v>
      </c>
      <c r="J13" s="43">
        <v>24.6</v>
      </c>
      <c r="K13" s="45">
        <v>9.0</v>
      </c>
      <c r="L13" s="43">
        <v>0.2</v>
      </c>
      <c r="M13" s="43">
        <v>1.0</v>
      </c>
      <c r="N13" s="43">
        <v>0.2</v>
      </c>
      <c r="O13" s="43">
        <v>0.03</v>
      </c>
      <c r="P13" s="43">
        <v>77.0</v>
      </c>
      <c r="Q13" s="45">
        <v>1.0</v>
      </c>
      <c r="R13" s="43" t="s">
        <v>53</v>
      </c>
      <c r="S13" s="43">
        <v>0.29</v>
      </c>
      <c r="T13" s="43">
        <v>0.5</v>
      </c>
      <c r="U13" s="43">
        <v>7.0</v>
      </c>
      <c r="V13" s="45">
        <v>232.0</v>
      </c>
      <c r="W13" s="43">
        <v>0.78</v>
      </c>
      <c r="X13" s="43">
        <v>0.58</v>
      </c>
      <c r="Y13" s="43">
        <v>10.09</v>
      </c>
      <c r="Z13" s="43">
        <v>0.04</v>
      </c>
      <c r="AA13" s="43">
        <v>18.2</v>
      </c>
      <c r="AB13" s="43" t="s">
        <v>54</v>
      </c>
      <c r="AC13" s="46" t="s">
        <v>53</v>
      </c>
      <c r="AD13" s="46" t="s">
        <v>53</v>
      </c>
      <c r="AE13" s="46" t="s">
        <v>53</v>
      </c>
    </row>
    <row r="14" spans="1:32" customHeight="1" ht="15.75" s="14" customFormat="1">
      <c r="B14" s="43" t="s">
        <v>61</v>
      </c>
      <c r="C14" s="43">
        <v>731946.0</v>
      </c>
      <c r="D14" s="43">
        <v>9068540.0</v>
      </c>
      <c r="E14" s="43" t="s">
        <v>62</v>
      </c>
      <c r="F14" s="44" t="s">
        <v>63</v>
      </c>
      <c r="G14" s="45">
        <v>5800.0</v>
      </c>
      <c r="H14" s="43">
        <v>7.89</v>
      </c>
      <c r="I14" s="45">
        <v>3040.0</v>
      </c>
      <c r="J14" s="43">
        <v>25.3</v>
      </c>
      <c r="K14" s="45">
        <v>6.0</v>
      </c>
      <c r="L14" s="43">
        <v>1.0</v>
      </c>
      <c r="M14" s="43">
        <v>3.0</v>
      </c>
      <c r="N14" s="43">
        <v>1.6</v>
      </c>
      <c r="O14" s="45">
        <v>0.06</v>
      </c>
      <c r="P14" s="45">
        <v>950.0</v>
      </c>
      <c r="Q14" s="43">
        <v>0.01</v>
      </c>
      <c r="R14" s="43" t="s">
        <v>53</v>
      </c>
      <c r="S14" s="43">
        <v>0.29</v>
      </c>
      <c r="T14" s="43">
        <v>27.0</v>
      </c>
      <c r="U14" s="43">
        <v>270.0</v>
      </c>
      <c r="V14" s="45">
        <v>1346.0</v>
      </c>
      <c r="W14" s="43">
        <v>218.0</v>
      </c>
      <c r="X14" s="43">
        <v>22.22</v>
      </c>
      <c r="Y14" s="43">
        <v>58.55</v>
      </c>
      <c r="Z14" s="43">
        <v>10.88</v>
      </c>
      <c r="AA14" s="43">
        <v>14.39</v>
      </c>
      <c r="AB14" s="43" t="s">
        <v>54</v>
      </c>
      <c r="AC14" s="46" t="s">
        <v>53</v>
      </c>
      <c r="AD14" s="46" t="s">
        <v>53</v>
      </c>
      <c r="AE14" s="46" t="s">
        <v>53</v>
      </c>
    </row>
    <row r="15" spans="1:32" customHeight="1" ht="15.75" s="14" customFormat="1">
      <c r="B15" s="43" t="s">
        <v>64</v>
      </c>
      <c r="C15" s="43">
        <v>732608.0</v>
      </c>
      <c r="D15" s="43">
        <v>9067590.0</v>
      </c>
      <c r="E15" s="43" t="s">
        <v>65</v>
      </c>
      <c r="F15" s="44" t="s">
        <v>66</v>
      </c>
      <c r="G15" s="45">
        <v>2950.0</v>
      </c>
      <c r="H15" s="43">
        <v>7.89</v>
      </c>
      <c r="I15" s="45">
        <v>1552.0</v>
      </c>
      <c r="J15" s="43">
        <v>23.6</v>
      </c>
      <c r="K15" s="43">
        <v>1.0</v>
      </c>
      <c r="L15" s="43">
        <v>0.3</v>
      </c>
      <c r="M15" s="43">
        <v>2.0</v>
      </c>
      <c r="N15" s="43">
        <v>1.7</v>
      </c>
      <c r="O15" s="43">
        <v>0.04</v>
      </c>
      <c r="P15" s="43">
        <v>113.0</v>
      </c>
      <c r="Q15" s="45">
        <v>0.5</v>
      </c>
      <c r="R15" s="43">
        <v>0.1</v>
      </c>
      <c r="S15" s="45">
        <v>0.35</v>
      </c>
      <c r="T15" s="43">
        <v>4.5</v>
      </c>
      <c r="U15" s="43">
        <v>154.0</v>
      </c>
      <c r="V15" s="45">
        <v>971.0</v>
      </c>
      <c r="W15" s="43">
        <v>173.0</v>
      </c>
      <c r="X15" s="43">
        <v>12.67</v>
      </c>
      <c r="Y15" s="43">
        <v>42.24</v>
      </c>
      <c r="Z15" s="43">
        <v>8.63</v>
      </c>
      <c r="AA15" s="43">
        <v>12.94</v>
      </c>
      <c r="AB15" s="43" t="s">
        <v>54</v>
      </c>
      <c r="AC15" s="46" t="s">
        <v>53</v>
      </c>
      <c r="AD15" s="46" t="s">
        <v>53</v>
      </c>
      <c r="AE15" s="46" t="s">
        <v>53</v>
      </c>
    </row>
    <row r="16" spans="1:32" customHeight="1" ht="15.75" s="13" customFormat="1">
      <c r="B16" s="47" t="s">
        <v>67</v>
      </c>
      <c r="C16" s="47">
        <v>733666.0</v>
      </c>
      <c r="D16" s="47">
        <v>9067920.0</v>
      </c>
      <c r="E16" s="47" t="s">
        <v>68</v>
      </c>
      <c r="F16" s="48" t="s">
        <v>69</v>
      </c>
      <c r="G16" s="49">
        <v>1874.0</v>
      </c>
      <c r="H16" s="47">
        <v>7.49</v>
      </c>
      <c r="I16" s="47">
        <v>963.0</v>
      </c>
      <c r="J16" s="47">
        <v>23.9</v>
      </c>
      <c r="K16" s="47">
        <v>1.0</v>
      </c>
      <c r="L16" s="47">
        <v>0.3</v>
      </c>
      <c r="M16" s="47">
        <v>3.0</v>
      </c>
      <c r="N16" s="47">
        <v>0.1</v>
      </c>
      <c r="O16" s="47">
        <v>0.03</v>
      </c>
      <c r="P16" s="47">
        <v>118.0</v>
      </c>
      <c r="Q16" s="49">
        <v>0.6</v>
      </c>
      <c r="R16" s="47">
        <v>0.1</v>
      </c>
      <c r="S16" s="49">
        <v>0.43</v>
      </c>
      <c r="T16" s="47">
        <v>1.1</v>
      </c>
      <c r="U16" s="47">
        <v>70.0</v>
      </c>
      <c r="V16" s="49">
        <v>617.0</v>
      </c>
      <c r="W16" s="47">
        <v>68.0</v>
      </c>
      <c r="X16" s="47">
        <v>5.76</v>
      </c>
      <c r="Y16" s="47">
        <v>26.84</v>
      </c>
      <c r="Z16" s="47">
        <v>3.39</v>
      </c>
      <c r="AA16" s="47">
        <v>12.55</v>
      </c>
      <c r="AB16" s="47" t="s">
        <v>54</v>
      </c>
      <c r="AC16" s="47">
        <v>80.0</v>
      </c>
      <c r="AD16" s="47" t="s">
        <v>53</v>
      </c>
      <c r="AE16" s="47" t="s">
        <v>53</v>
      </c>
    </row>
    <row r="17" spans="1:32" customHeight="1" ht="15.75" s="14" customFormat="1">
      <c r="B17" s="43" t="s">
        <v>70</v>
      </c>
      <c r="C17" s="43">
        <v>730483.0</v>
      </c>
      <c r="D17" s="43">
        <v>9066610.0</v>
      </c>
      <c r="E17" s="43" t="s">
        <v>71</v>
      </c>
      <c r="F17" s="44">
        <v>0</v>
      </c>
      <c r="G17" s="45">
        <v>11190.0</v>
      </c>
      <c r="H17" s="43">
        <v>8.22</v>
      </c>
      <c r="I17" s="45">
        <v>6910.0</v>
      </c>
      <c r="J17" s="43">
        <v>21.6</v>
      </c>
      <c r="K17" s="43">
        <v>3.9</v>
      </c>
      <c r="L17" s="43">
        <v>0.2</v>
      </c>
      <c r="M17" s="43">
        <v>2.0</v>
      </c>
      <c r="N17" s="45">
        <v>7.73</v>
      </c>
      <c r="O17" s="45">
        <v>0.061</v>
      </c>
      <c r="P17" s="43">
        <v>136.0</v>
      </c>
      <c r="Q17" s="45">
        <v>0.8</v>
      </c>
      <c r="R17" s="43">
        <v>0.01</v>
      </c>
      <c r="S17" s="45">
        <v>0.5</v>
      </c>
      <c r="T17" s="43">
        <v>74.0</v>
      </c>
      <c r="U17" s="43">
        <v>1271.0</v>
      </c>
      <c r="V17" s="45">
        <v>2666.0</v>
      </c>
      <c r="W17" s="43">
        <v>1554.0</v>
      </c>
      <c r="X17" s="43">
        <v>104.59</v>
      </c>
      <c r="Y17" s="43">
        <v>115.97</v>
      </c>
      <c r="Z17" s="43">
        <v>77.55</v>
      </c>
      <c r="AA17" s="43">
        <v>12.15</v>
      </c>
      <c r="AB17" s="43" t="s">
        <v>54</v>
      </c>
      <c r="AC17" s="46" t="s">
        <v>53</v>
      </c>
      <c r="AD17" s="46" t="s">
        <v>53</v>
      </c>
      <c r="AE17" s="46" t="s">
        <v>53</v>
      </c>
    </row>
    <row r="18" spans="1:32" customHeight="1" ht="15.75" s="13" customFormat="1">
      <c r="B18" s="47" t="s">
        <v>72</v>
      </c>
      <c r="C18" s="47">
        <v>731773.0</v>
      </c>
      <c r="D18" s="47">
        <v>9064860.0</v>
      </c>
      <c r="E18" s="47" t="s">
        <v>73</v>
      </c>
      <c r="F18" s="48">
        <v>0</v>
      </c>
      <c r="G18" s="47">
        <v>910.0</v>
      </c>
      <c r="H18" s="47">
        <v>7.93</v>
      </c>
      <c r="I18" s="47">
        <v>462.0</v>
      </c>
      <c r="J18" s="47">
        <v>22.8</v>
      </c>
      <c r="K18" s="49">
        <v>11.0</v>
      </c>
      <c r="L18" s="47">
        <v>0.4</v>
      </c>
      <c r="M18" s="47">
        <v>2.0</v>
      </c>
      <c r="N18" s="47">
        <v>0.1</v>
      </c>
      <c r="O18" s="47">
        <v>0.04</v>
      </c>
      <c r="P18" s="47">
        <v>99.0</v>
      </c>
      <c r="Q18" s="49">
        <v>1.7</v>
      </c>
      <c r="R18" s="47" t="s">
        <v>53</v>
      </c>
      <c r="S18" s="47">
        <v>0.15</v>
      </c>
      <c r="T18" s="47">
        <v>8.6</v>
      </c>
      <c r="U18" s="47">
        <v>102.0</v>
      </c>
      <c r="V18" s="47">
        <v>114.0</v>
      </c>
      <c r="W18" s="47">
        <v>94.0</v>
      </c>
      <c r="X18" s="47">
        <v>8.39</v>
      </c>
      <c r="Y18" s="47">
        <v>4.96</v>
      </c>
      <c r="Z18" s="47">
        <v>4.69</v>
      </c>
      <c r="AA18" s="47">
        <v>1.94</v>
      </c>
      <c r="AB18" s="47" t="s">
        <v>74</v>
      </c>
      <c r="AC18" s="47">
        <v>200.0</v>
      </c>
      <c r="AD18" s="47" t="s">
        <v>53</v>
      </c>
      <c r="AE18" s="47" t="s">
        <v>53</v>
      </c>
    </row>
    <row r="19" spans="1:32" customHeight="1" ht="15.75" s="13" customFormat="1">
      <c r="B19" s="47" t="s">
        <v>75</v>
      </c>
      <c r="C19" s="47">
        <v>732786.0</v>
      </c>
      <c r="D19" s="47">
        <v>9065730.0</v>
      </c>
      <c r="E19" s="47" t="s">
        <v>76</v>
      </c>
      <c r="F19" s="48" t="s">
        <v>77</v>
      </c>
      <c r="G19" s="47">
        <v>729.0</v>
      </c>
      <c r="H19" s="47">
        <v>7.65</v>
      </c>
      <c r="I19" s="47">
        <v>385.0</v>
      </c>
      <c r="J19" s="47">
        <v>21.0</v>
      </c>
      <c r="K19" s="47">
        <v>1.42</v>
      </c>
      <c r="L19" s="47">
        <v>0.4</v>
      </c>
      <c r="M19" s="47">
        <v>2.0</v>
      </c>
      <c r="N19" s="47">
        <v>0.15</v>
      </c>
      <c r="O19" s="47">
        <v>0.041</v>
      </c>
      <c r="P19" s="47">
        <v>84.0</v>
      </c>
      <c r="Q19" s="47">
        <v>0.4</v>
      </c>
      <c r="R19" s="47">
        <v>0.15</v>
      </c>
      <c r="S19" s="47">
        <v>0.18</v>
      </c>
      <c r="T19" s="47">
        <v>2.41</v>
      </c>
      <c r="U19" s="47">
        <v>101.0</v>
      </c>
      <c r="V19" s="47">
        <v>57.0</v>
      </c>
      <c r="W19" s="47">
        <v>155.0</v>
      </c>
      <c r="X19" s="47">
        <v>8.31</v>
      </c>
      <c r="Y19" s="47">
        <v>2.48</v>
      </c>
      <c r="Z19" s="47">
        <v>7.73</v>
      </c>
      <c r="AA19" s="47">
        <v>0.88</v>
      </c>
      <c r="AB19" s="47" t="s">
        <v>74</v>
      </c>
      <c r="AC19" s="47">
        <v>5.0</v>
      </c>
      <c r="AD19" s="47" t="s">
        <v>53</v>
      </c>
      <c r="AE19" s="47" t="s">
        <v>53</v>
      </c>
    </row>
    <row r="20" spans="1:32" customHeight="1" ht="15.75" s="13" customFormat="1">
      <c r="B20" s="47" t="s">
        <v>78</v>
      </c>
      <c r="C20" s="47">
        <v>732614.0</v>
      </c>
      <c r="D20" s="47">
        <v>9063170.0</v>
      </c>
      <c r="E20" s="47" t="s">
        <v>79</v>
      </c>
      <c r="F20" s="48">
        <v>0</v>
      </c>
      <c r="G20" s="49">
        <v>1610.0</v>
      </c>
      <c r="H20" s="47">
        <v>8.15</v>
      </c>
      <c r="I20" s="47">
        <v>803.0</v>
      </c>
      <c r="J20" s="47">
        <v>25.1</v>
      </c>
      <c r="K20" s="47">
        <v>2.0</v>
      </c>
      <c r="L20" s="47">
        <v>1.2</v>
      </c>
      <c r="M20" s="47">
        <v>3.0</v>
      </c>
      <c r="N20" s="47">
        <v>0.1</v>
      </c>
      <c r="O20" s="47">
        <v>0.04</v>
      </c>
      <c r="P20" s="47">
        <v>111.0</v>
      </c>
      <c r="Q20" s="47">
        <v>0.04</v>
      </c>
      <c r="R20" s="47" t="s">
        <v>53</v>
      </c>
      <c r="S20" s="47">
        <v>0.23</v>
      </c>
      <c r="T20" s="47">
        <v>11.0</v>
      </c>
      <c r="U20" s="47">
        <v>192.0</v>
      </c>
      <c r="V20" s="49">
        <v>296.0</v>
      </c>
      <c r="W20" s="47">
        <v>104.0</v>
      </c>
      <c r="X20" s="47">
        <v>15.8</v>
      </c>
      <c r="Y20" s="47">
        <v>12.88</v>
      </c>
      <c r="Z20" s="47">
        <v>5.19</v>
      </c>
      <c r="AA20" s="47">
        <v>3.97</v>
      </c>
      <c r="AB20" s="47" t="s">
        <v>80</v>
      </c>
      <c r="AC20" s="47">
        <v>40.0</v>
      </c>
      <c r="AD20" s="47" t="s">
        <v>53</v>
      </c>
      <c r="AE20" s="47" t="s">
        <v>53</v>
      </c>
    </row>
    <row r="21" spans="1:32" customHeight="1" ht="15.75" s="13" customFormat="1">
      <c r="B21" s="47" t="s">
        <v>81</v>
      </c>
      <c r="C21" s="47">
        <v>734153.0</v>
      </c>
      <c r="D21" s="47">
        <v>9061670.0</v>
      </c>
      <c r="E21" s="47" t="s">
        <v>82</v>
      </c>
      <c r="F21" s="48" t="s">
        <v>83</v>
      </c>
      <c r="G21" s="47">
        <v>1431.0</v>
      </c>
      <c r="H21" s="47">
        <v>7.69</v>
      </c>
      <c r="I21" s="47">
        <v>733.0</v>
      </c>
      <c r="J21" s="47">
        <v>23.6</v>
      </c>
      <c r="K21" s="47">
        <v>3.0</v>
      </c>
      <c r="L21" s="47">
        <v>0.7</v>
      </c>
      <c r="M21" s="47">
        <v>2.0</v>
      </c>
      <c r="N21" s="47">
        <v>1.5</v>
      </c>
      <c r="O21" s="47">
        <v>0.03</v>
      </c>
      <c r="P21" s="47">
        <v>102.0</v>
      </c>
      <c r="Q21" s="47">
        <v>0.3</v>
      </c>
      <c r="R21" s="47" t="s">
        <v>53</v>
      </c>
      <c r="S21" s="49">
        <v>0.63</v>
      </c>
      <c r="T21" s="47">
        <v>7.3</v>
      </c>
      <c r="U21" s="47">
        <v>227.0</v>
      </c>
      <c r="V21" s="47">
        <v>183.0</v>
      </c>
      <c r="W21" s="47">
        <v>241.0</v>
      </c>
      <c r="X21" s="47">
        <v>18.68</v>
      </c>
      <c r="Y21" s="47">
        <v>7.96</v>
      </c>
      <c r="Z21" s="47">
        <v>12.03</v>
      </c>
      <c r="AA21" s="47">
        <v>2.03</v>
      </c>
      <c r="AB21" s="47" t="s">
        <v>74</v>
      </c>
      <c r="AC21" s="47">
        <v>20.0</v>
      </c>
      <c r="AD21" s="47" t="s">
        <v>53</v>
      </c>
      <c r="AE21" s="47" t="s">
        <v>53</v>
      </c>
    </row>
    <row r="22" spans="1:32" customHeight="1" ht="15.75" s="14" customFormat="1">
      <c r="B22" s="43" t="s">
        <v>84</v>
      </c>
      <c r="C22" s="43">
        <v>740888.0</v>
      </c>
      <c r="D22" s="43">
        <v>9066670.0</v>
      </c>
      <c r="E22" s="43" t="s">
        <v>85</v>
      </c>
      <c r="F22" s="44">
        <v>0</v>
      </c>
      <c r="G22" s="43">
        <v>991.0</v>
      </c>
      <c r="H22" s="43">
        <v>7.36</v>
      </c>
      <c r="I22" s="43">
        <v>495.0</v>
      </c>
      <c r="J22" s="43">
        <v>24.2</v>
      </c>
      <c r="K22" s="43">
        <v>4.0</v>
      </c>
      <c r="L22" s="43">
        <v>0.1</v>
      </c>
      <c r="M22" s="43">
        <v>2.0</v>
      </c>
      <c r="N22" s="43">
        <v>0.1</v>
      </c>
      <c r="O22" s="43">
        <v>0.05</v>
      </c>
      <c r="P22" s="43">
        <v>98.0</v>
      </c>
      <c r="Q22" s="45">
        <v>1.1</v>
      </c>
      <c r="R22" s="43" t="s">
        <v>53</v>
      </c>
      <c r="S22" s="43">
        <v>0.2</v>
      </c>
      <c r="T22" s="43">
        <v>2.1</v>
      </c>
      <c r="U22" s="43">
        <v>43.0</v>
      </c>
      <c r="V22" s="43">
        <v>121.0</v>
      </c>
      <c r="W22" s="43">
        <v>31.0</v>
      </c>
      <c r="X22" s="43">
        <v>3.54</v>
      </c>
      <c r="Y22" s="43">
        <v>5.26</v>
      </c>
      <c r="Z22" s="43">
        <v>1.55</v>
      </c>
      <c r="AA22" s="43">
        <v>3.3</v>
      </c>
      <c r="AB22" s="43" t="s">
        <v>80</v>
      </c>
      <c r="AC22" s="46" t="s">
        <v>53</v>
      </c>
      <c r="AD22" s="46" t="s">
        <v>53</v>
      </c>
      <c r="AE22" s="46" t="s">
        <v>53</v>
      </c>
    </row>
    <row r="23" spans="1:32" customHeight="1" ht="15.75" s="13" customFormat="1">
      <c r="B23" s="47" t="s">
        <v>86</v>
      </c>
      <c r="C23" s="47">
        <v>736230.0</v>
      </c>
      <c r="D23" s="47">
        <v>9064360.0</v>
      </c>
      <c r="E23" s="47" t="s">
        <v>87</v>
      </c>
      <c r="F23" s="48" t="s">
        <v>88</v>
      </c>
      <c r="G23" s="47">
        <v>1218.0</v>
      </c>
      <c r="H23" s="47">
        <v>7.35</v>
      </c>
      <c r="I23" s="47">
        <v>624.0</v>
      </c>
      <c r="J23" s="47">
        <v>23.4</v>
      </c>
      <c r="K23" s="47" t="s">
        <v>53</v>
      </c>
      <c r="L23" s="47">
        <v>0.5</v>
      </c>
      <c r="M23" s="47">
        <v>2.0</v>
      </c>
      <c r="N23" s="47">
        <v>1.7</v>
      </c>
      <c r="O23" s="47">
        <v>0.04</v>
      </c>
      <c r="P23" s="47">
        <v>105.0</v>
      </c>
      <c r="Q23" s="47">
        <v>0.4</v>
      </c>
      <c r="R23" s="47" t="s">
        <v>53</v>
      </c>
      <c r="S23" s="49">
        <v>0.4</v>
      </c>
      <c r="T23" s="47">
        <v>0.4</v>
      </c>
      <c r="U23" s="47">
        <v>98.0</v>
      </c>
      <c r="V23" s="47">
        <v>183.0</v>
      </c>
      <c r="W23" s="47">
        <v>219.0</v>
      </c>
      <c r="X23" s="47">
        <v>8.06</v>
      </c>
      <c r="Y23" s="47">
        <v>7.96</v>
      </c>
      <c r="Z23" s="47">
        <v>10.93</v>
      </c>
      <c r="AA23" s="47">
        <v>2.58</v>
      </c>
      <c r="AB23" s="47" t="s">
        <v>74</v>
      </c>
      <c r="AC23" s="47">
        <v>20.0</v>
      </c>
      <c r="AD23" s="47" t="s">
        <v>53</v>
      </c>
      <c r="AE23" s="47" t="s">
        <v>53</v>
      </c>
    </row>
    <row r="24" spans="1:32" customHeight="1" ht="15.75" s="14" customFormat="1">
      <c r="B24" s="43" t="s">
        <v>89</v>
      </c>
      <c r="C24" s="43">
        <v>735858.0</v>
      </c>
      <c r="D24" s="43">
        <v>9062530.0</v>
      </c>
      <c r="E24" s="43" t="s">
        <v>90</v>
      </c>
      <c r="F24" s="44" t="s">
        <v>91</v>
      </c>
      <c r="G24" s="43">
        <v>1059.0</v>
      </c>
      <c r="H24" s="43">
        <v>7.39</v>
      </c>
      <c r="I24" s="43">
        <v>557.0</v>
      </c>
      <c r="J24" s="43">
        <v>23.5</v>
      </c>
      <c r="K24" s="43">
        <v>5.0</v>
      </c>
      <c r="L24" s="43">
        <v>0.2</v>
      </c>
      <c r="M24" s="45">
        <v>6.0</v>
      </c>
      <c r="N24" s="43">
        <v>1.4</v>
      </c>
      <c r="O24" s="43">
        <v>0.05</v>
      </c>
      <c r="P24" s="43">
        <v>94.0</v>
      </c>
      <c r="Q24" s="45">
        <v>0.6</v>
      </c>
      <c r="R24" s="43" t="s">
        <v>53</v>
      </c>
      <c r="S24" s="45">
        <v>0.4</v>
      </c>
      <c r="T24" s="43">
        <v>0.8</v>
      </c>
      <c r="U24" s="43">
        <v>82.0</v>
      </c>
      <c r="V24" s="43">
        <v>86.0</v>
      </c>
      <c r="W24" s="43">
        <v>142.0</v>
      </c>
      <c r="X24" s="43">
        <v>6.75</v>
      </c>
      <c r="Y24" s="43">
        <v>3.74</v>
      </c>
      <c r="Z24" s="43">
        <v>7.09</v>
      </c>
      <c r="AA24" s="43">
        <v>1.42</v>
      </c>
      <c r="AB24" s="43" t="s">
        <v>74</v>
      </c>
      <c r="AC24" s="46" t="s">
        <v>53</v>
      </c>
      <c r="AD24" s="46" t="s">
        <v>53</v>
      </c>
      <c r="AE24" s="46" t="s">
        <v>53</v>
      </c>
    </row>
    <row r="25" spans="1:32" customHeight="1" ht="15.75" s="13" customFormat="1">
      <c r="B25" s="47" t="s">
        <v>92</v>
      </c>
      <c r="C25" s="47">
        <v>734150.0</v>
      </c>
      <c r="D25" s="47">
        <v>9064250.0</v>
      </c>
      <c r="E25" s="47" t="s">
        <v>93</v>
      </c>
      <c r="F25" s="48">
        <v>0</v>
      </c>
      <c r="G25" s="49">
        <v>3650.0</v>
      </c>
      <c r="H25" s="47">
        <v>7.95</v>
      </c>
      <c r="I25" s="49">
        <v>1996.0</v>
      </c>
      <c r="J25" s="47">
        <v>22.2</v>
      </c>
      <c r="K25" s="47">
        <v>1.0</v>
      </c>
      <c r="L25" s="47">
        <v>0.5</v>
      </c>
      <c r="M25" s="47">
        <v>3.0</v>
      </c>
      <c r="N25" s="47">
        <v>0.1</v>
      </c>
      <c r="O25" s="47">
        <v>0.02</v>
      </c>
      <c r="P25" s="47">
        <v>119.0</v>
      </c>
      <c r="Q25" s="49">
        <v>0.8</v>
      </c>
      <c r="R25" s="47" t="s">
        <v>53</v>
      </c>
      <c r="S25" s="49">
        <v>0.4</v>
      </c>
      <c r="T25" s="47">
        <v>7.3</v>
      </c>
      <c r="U25" s="47">
        <v>195.0</v>
      </c>
      <c r="V25" s="49">
        <v>1040.0</v>
      </c>
      <c r="W25" s="47">
        <v>48.0</v>
      </c>
      <c r="X25" s="47">
        <v>16.05</v>
      </c>
      <c r="Y25" s="47">
        <v>45.24</v>
      </c>
      <c r="Z25" s="47">
        <v>2.4</v>
      </c>
      <c r="AA25" s="47">
        <v>14.9</v>
      </c>
      <c r="AB25" s="47" t="s">
        <v>54</v>
      </c>
      <c r="AC25" s="47">
        <v>30.0</v>
      </c>
      <c r="AD25" s="47" t="s">
        <v>53</v>
      </c>
      <c r="AE25" s="47" t="s">
        <v>53</v>
      </c>
    </row>
    <row r="26" spans="1:32" customHeight="1" ht="15.75" s="13" customFormat="1">
      <c r="B26" s="47" t="s">
        <v>94</v>
      </c>
      <c r="C26" s="47">
        <v>734617.0</v>
      </c>
      <c r="D26" s="47">
        <v>9066180.0</v>
      </c>
      <c r="E26" s="47" t="s">
        <v>95</v>
      </c>
      <c r="F26" s="48" t="s">
        <v>96</v>
      </c>
      <c r="G26" s="49">
        <v>1652.0</v>
      </c>
      <c r="H26" s="47">
        <v>7.58</v>
      </c>
      <c r="I26" s="47">
        <v>865.0</v>
      </c>
      <c r="J26" s="47">
        <v>22.8</v>
      </c>
      <c r="K26" s="47" t="s">
        <v>53</v>
      </c>
      <c r="L26" s="47">
        <v>0.7</v>
      </c>
      <c r="M26" s="47">
        <v>2.0</v>
      </c>
      <c r="N26" s="49">
        <v>2.2</v>
      </c>
      <c r="O26" s="47">
        <v>0.05</v>
      </c>
      <c r="P26" s="47">
        <v>113.0</v>
      </c>
      <c r="Q26" s="49">
        <v>0.6</v>
      </c>
      <c r="R26" s="47" t="s">
        <v>53</v>
      </c>
      <c r="S26" s="49">
        <v>0.9</v>
      </c>
      <c r="T26" s="47">
        <v>1.5</v>
      </c>
      <c r="U26" s="47">
        <v>137.0</v>
      </c>
      <c r="V26" s="49">
        <v>348.0</v>
      </c>
      <c r="W26" s="47">
        <v>208.0</v>
      </c>
      <c r="X26" s="47">
        <v>11.27</v>
      </c>
      <c r="Y26" s="47">
        <v>15.14</v>
      </c>
      <c r="Z26" s="47">
        <v>10.38</v>
      </c>
      <c r="AA26" s="47">
        <v>4.6</v>
      </c>
      <c r="AB26" s="47" t="s">
        <v>80</v>
      </c>
      <c r="AC26" s="47">
        <v>15.0</v>
      </c>
      <c r="AD26" s="47" t="s">
        <v>53</v>
      </c>
      <c r="AE26" s="47" t="s">
        <v>53</v>
      </c>
    </row>
    <row r="27" spans="1:32" customHeight="1" ht="15.75" s="14" customFormat="1">
      <c r="B27" s="43" t="s">
        <v>97</v>
      </c>
      <c r="C27" s="43">
        <v>736355.0</v>
      </c>
      <c r="D27" s="43">
        <v>9066130.0</v>
      </c>
      <c r="E27" s="43" t="s">
        <v>98</v>
      </c>
      <c r="F27" s="44" t="s">
        <v>99</v>
      </c>
      <c r="G27" s="45">
        <v>1838.0</v>
      </c>
      <c r="H27" s="43">
        <v>7.71</v>
      </c>
      <c r="I27" s="43">
        <v>994.0</v>
      </c>
      <c r="J27" s="43">
        <v>24.0</v>
      </c>
      <c r="K27" s="43">
        <v>1.0</v>
      </c>
      <c r="L27" s="43">
        <v>1.1</v>
      </c>
      <c r="M27" s="45">
        <v>6.0</v>
      </c>
      <c r="N27" s="43">
        <v>0.1</v>
      </c>
      <c r="O27" s="43">
        <v>0.05</v>
      </c>
      <c r="P27" s="43">
        <v>115.0</v>
      </c>
      <c r="Q27" s="43">
        <v>0.3</v>
      </c>
      <c r="R27" s="43" t="s">
        <v>53</v>
      </c>
      <c r="S27" s="43">
        <v>0.1</v>
      </c>
      <c r="T27" s="43">
        <v>3.3</v>
      </c>
      <c r="U27" s="43">
        <v>61.0</v>
      </c>
      <c r="V27" s="45">
        <v>743.0</v>
      </c>
      <c r="W27" s="43">
        <v>36.0</v>
      </c>
      <c r="X27" s="43">
        <v>5.02</v>
      </c>
      <c r="Y27" s="43">
        <v>32.32</v>
      </c>
      <c r="Z27" s="43">
        <v>1.8</v>
      </c>
      <c r="AA27" s="43">
        <v>17.51</v>
      </c>
      <c r="AB27" s="43" t="s">
        <v>54</v>
      </c>
      <c r="AC27" s="46" t="s">
        <v>53</v>
      </c>
      <c r="AD27" s="46" t="s">
        <v>53</v>
      </c>
      <c r="AE27" s="46" t="s">
        <v>53</v>
      </c>
    </row>
    <row r="28" spans="1:32" customHeight="1" ht="15.75" s="13" customFormat="1">
      <c r="B28" s="47" t="s">
        <v>100</v>
      </c>
      <c r="C28" s="47">
        <v>738617.0</v>
      </c>
      <c r="D28" s="47">
        <v>9065170.0</v>
      </c>
      <c r="E28" s="47" t="s">
        <v>101</v>
      </c>
      <c r="F28" s="48" t="s">
        <v>102</v>
      </c>
      <c r="G28" s="49">
        <v>2320.0</v>
      </c>
      <c r="H28" s="47">
        <v>7.52</v>
      </c>
      <c r="I28" s="49">
        <v>1190.0</v>
      </c>
      <c r="J28" s="47">
        <v>24.3</v>
      </c>
      <c r="K28" s="47" t="s">
        <v>53</v>
      </c>
      <c r="L28" s="47" t="s">
        <v>53</v>
      </c>
      <c r="M28" s="47">
        <v>3.0</v>
      </c>
      <c r="N28" s="49">
        <v>3.6</v>
      </c>
      <c r="O28" s="47">
        <v>0.04</v>
      </c>
      <c r="P28" s="47">
        <v>106.0</v>
      </c>
      <c r="Q28" s="47">
        <v>0.2</v>
      </c>
      <c r="R28" s="47" t="s">
        <v>53</v>
      </c>
      <c r="S28" s="49">
        <v>0.5</v>
      </c>
      <c r="T28" s="47">
        <v>1.5</v>
      </c>
      <c r="U28" s="47">
        <v>176.0</v>
      </c>
      <c r="V28" s="49">
        <v>290.0</v>
      </c>
      <c r="W28" s="47">
        <v>427.0</v>
      </c>
      <c r="X28" s="47">
        <v>14.48</v>
      </c>
      <c r="Y28" s="47">
        <v>12.61</v>
      </c>
      <c r="Z28" s="47">
        <v>21.31</v>
      </c>
      <c r="AA28" s="47">
        <v>2.98</v>
      </c>
      <c r="AB28" s="47" t="s">
        <v>74</v>
      </c>
      <c r="AC28" s="47">
        <v>45.0</v>
      </c>
      <c r="AD28" s="47" t="s">
        <v>53</v>
      </c>
      <c r="AE28" s="47" t="s">
        <v>53</v>
      </c>
    </row>
    <row r="29" spans="1:32" customHeight="1" ht="15.75" s="13" customFormat="1">
      <c r="B29" s="47" t="s">
        <v>103</v>
      </c>
      <c r="C29" s="47">
        <v>739039.0</v>
      </c>
      <c r="D29" s="47">
        <v>9067800.0</v>
      </c>
      <c r="E29" s="47" t="s">
        <v>104</v>
      </c>
      <c r="F29" s="48" t="s">
        <v>105</v>
      </c>
      <c r="G29" s="49">
        <v>1529.0</v>
      </c>
      <c r="H29" s="47">
        <v>7.4</v>
      </c>
      <c r="I29" s="47">
        <v>805.0</v>
      </c>
      <c r="J29" s="47">
        <v>22.5</v>
      </c>
      <c r="K29" s="47">
        <v>3.0</v>
      </c>
      <c r="L29" s="47">
        <v>1.1</v>
      </c>
      <c r="M29" s="47">
        <v>1.0</v>
      </c>
      <c r="N29" s="49">
        <v>2.6</v>
      </c>
      <c r="O29" s="47">
        <v>0.03</v>
      </c>
      <c r="P29" s="47">
        <v>115.0</v>
      </c>
      <c r="Q29" s="47">
        <v>0.1</v>
      </c>
      <c r="R29" s="47" t="s">
        <v>53</v>
      </c>
      <c r="S29" s="47">
        <v>0.3</v>
      </c>
      <c r="T29" s="47">
        <v>0.6</v>
      </c>
      <c r="U29" s="47">
        <v>149.0</v>
      </c>
      <c r="V29" s="47">
        <v>190.0</v>
      </c>
      <c r="W29" s="47">
        <v>173.0</v>
      </c>
      <c r="X29" s="47">
        <v>12.26</v>
      </c>
      <c r="Y29" s="47">
        <v>8.26</v>
      </c>
      <c r="Z29" s="47">
        <v>8.63</v>
      </c>
      <c r="AA29" s="47">
        <v>2.56</v>
      </c>
      <c r="AB29" s="47" t="s">
        <v>74</v>
      </c>
      <c r="AC29" s="47">
        <v>60.0</v>
      </c>
      <c r="AD29" s="47" t="s">
        <v>53</v>
      </c>
      <c r="AE29" s="47" t="s">
        <v>53</v>
      </c>
    </row>
    <row r="30" spans="1:32" customHeight="1" ht="15.75" s="14" customFormat="1">
      <c r="B30" s="43" t="s">
        <v>106</v>
      </c>
      <c r="C30" s="43">
        <v>737752.0</v>
      </c>
      <c r="D30" s="43">
        <v>9066490.0</v>
      </c>
      <c r="E30" s="43" t="s">
        <v>107</v>
      </c>
      <c r="F30" s="44" t="s">
        <v>108</v>
      </c>
      <c r="G30" s="45">
        <v>1566.0</v>
      </c>
      <c r="H30" s="43">
        <v>6.4</v>
      </c>
      <c r="I30" s="43">
        <v>820.0</v>
      </c>
      <c r="J30" s="43">
        <v>22.7</v>
      </c>
      <c r="K30" s="43">
        <v>2.0</v>
      </c>
      <c r="L30" s="43">
        <v>1.2</v>
      </c>
      <c r="M30" s="45">
        <v>12.0</v>
      </c>
      <c r="N30" s="45">
        <v>2.2</v>
      </c>
      <c r="O30" s="43">
        <v>0.04</v>
      </c>
      <c r="P30" s="43">
        <v>113.0</v>
      </c>
      <c r="Q30" s="43">
        <v>0.3</v>
      </c>
      <c r="R30" s="43" t="s">
        <v>53</v>
      </c>
      <c r="S30" s="43">
        <v>0.2</v>
      </c>
      <c r="T30" s="43">
        <v>4.5</v>
      </c>
      <c r="U30" s="43">
        <v>260.0</v>
      </c>
      <c r="V30" s="45">
        <v>285.0</v>
      </c>
      <c r="W30" s="43">
        <v>218.0</v>
      </c>
      <c r="X30" s="43">
        <v>21.39</v>
      </c>
      <c r="Y30" s="43">
        <v>12.4</v>
      </c>
      <c r="Z30" s="43">
        <v>10.88</v>
      </c>
      <c r="AA30" s="43">
        <v>3.09</v>
      </c>
      <c r="AB30" s="43" t="s">
        <v>80</v>
      </c>
      <c r="AC30" s="46" t="s">
        <v>53</v>
      </c>
      <c r="AD30" s="46" t="s">
        <v>53</v>
      </c>
      <c r="AE30" s="46" t="s">
        <v>53</v>
      </c>
    </row>
    <row r="31" spans="1:32" customHeight="1" ht="15.75" s="13" customFormat="1">
      <c r="B31" s="47" t="s">
        <v>109</v>
      </c>
      <c r="C31" s="47">
        <v>736452.0</v>
      </c>
      <c r="D31" s="47">
        <v>9067010.0</v>
      </c>
      <c r="E31" s="47" t="s">
        <v>110</v>
      </c>
      <c r="F31" s="48" t="s">
        <v>111</v>
      </c>
      <c r="G31" s="49">
        <v>1982.0</v>
      </c>
      <c r="H31" s="47">
        <v>7.46</v>
      </c>
      <c r="I31" s="49">
        <v>1066.0</v>
      </c>
      <c r="J31" s="47">
        <v>22.0</v>
      </c>
      <c r="K31" s="47">
        <v>3.0</v>
      </c>
      <c r="L31" s="47">
        <v>0.5</v>
      </c>
      <c r="M31" s="47">
        <v>1.0</v>
      </c>
      <c r="N31" s="47">
        <v>0.6</v>
      </c>
      <c r="O31" s="47">
        <v>0.03</v>
      </c>
      <c r="P31" s="47">
        <v>112.0</v>
      </c>
      <c r="Q31" s="47">
        <v>0.1</v>
      </c>
      <c r="R31" s="47">
        <v>0.1</v>
      </c>
      <c r="S31" s="47">
        <v>0.2</v>
      </c>
      <c r="T31" s="47">
        <v>3.5</v>
      </c>
      <c r="U31" s="47">
        <v>245.0</v>
      </c>
      <c r="V31" s="49">
        <v>488.0</v>
      </c>
      <c r="W31" s="47">
        <v>137.0</v>
      </c>
      <c r="X31" s="47">
        <v>20.16</v>
      </c>
      <c r="Y31" s="47">
        <v>21.23</v>
      </c>
      <c r="Z31" s="47">
        <v>6.84</v>
      </c>
      <c r="AA31" s="47">
        <v>5.78</v>
      </c>
      <c r="AB31" s="47" t="s">
        <v>80</v>
      </c>
      <c r="AC31" s="47">
        <v>5.0</v>
      </c>
      <c r="AD31" s="47" t="s">
        <v>53</v>
      </c>
      <c r="AE31" s="47" t="s">
        <v>53</v>
      </c>
    </row>
    <row r="32" spans="1:32" customHeight="1" ht="15.75" s="13" customFormat="1">
      <c r="B32" s="47" t="s">
        <v>112</v>
      </c>
      <c r="C32" s="47">
        <v>734755.0</v>
      </c>
      <c r="D32" s="47">
        <v>9067630.0</v>
      </c>
      <c r="E32" s="47" t="s">
        <v>113</v>
      </c>
      <c r="F32" s="48" t="s">
        <v>114</v>
      </c>
      <c r="G32" s="47">
        <v>789.0</v>
      </c>
      <c r="H32" s="47">
        <v>7.75</v>
      </c>
      <c r="I32" s="47">
        <v>426.0</v>
      </c>
      <c r="J32" s="47">
        <v>20.0</v>
      </c>
      <c r="K32" s="47">
        <v>1.0</v>
      </c>
      <c r="L32" s="47">
        <v>0.7</v>
      </c>
      <c r="M32" s="47">
        <v>1.0</v>
      </c>
      <c r="N32" s="47">
        <v>0.2</v>
      </c>
      <c r="O32" s="47">
        <v>0.02</v>
      </c>
      <c r="P32" s="47">
        <v>89.0</v>
      </c>
      <c r="Q32" s="47">
        <v>0.2</v>
      </c>
      <c r="R32" s="47" t="s">
        <v>53</v>
      </c>
      <c r="S32" s="47">
        <v>0.3</v>
      </c>
      <c r="T32" s="47">
        <v>1.9</v>
      </c>
      <c r="U32" s="47">
        <v>201.0</v>
      </c>
      <c r="V32" s="47">
        <v>84.0</v>
      </c>
      <c r="W32" s="47">
        <v>221.0</v>
      </c>
      <c r="X32" s="47">
        <v>16.54</v>
      </c>
      <c r="Y32" s="47">
        <v>3.65</v>
      </c>
      <c r="Z32" s="47">
        <v>11.03</v>
      </c>
      <c r="AA32" s="47">
        <v>0.98</v>
      </c>
      <c r="AB32" s="47" t="s">
        <v>74</v>
      </c>
      <c r="AC32" s="47">
        <v>25.0</v>
      </c>
      <c r="AD32" s="47" t="s">
        <v>53</v>
      </c>
      <c r="AE32" s="47" t="s">
        <v>53</v>
      </c>
    </row>
    <row r="33" spans="1:32" customHeight="1" ht="15.75" s="13" customFormat="1">
      <c r="B33" s="47" t="s">
        <v>115</v>
      </c>
      <c r="C33" s="47">
        <v>735518.0</v>
      </c>
      <c r="D33" s="47">
        <v>9068270.0</v>
      </c>
      <c r="E33" s="47" t="s">
        <v>116</v>
      </c>
      <c r="F33" s="48" t="s">
        <v>117</v>
      </c>
      <c r="G33" s="49">
        <v>1619.0</v>
      </c>
      <c r="H33" s="47">
        <v>7.38</v>
      </c>
      <c r="I33" s="47">
        <v>851.0</v>
      </c>
      <c r="J33" s="47">
        <v>22.7</v>
      </c>
      <c r="K33" s="47">
        <v>2.0</v>
      </c>
      <c r="L33" s="47">
        <v>0.3</v>
      </c>
      <c r="M33" s="47">
        <v>3.0</v>
      </c>
      <c r="N33" s="49">
        <v>2.5</v>
      </c>
      <c r="O33" s="47">
        <v>0.03</v>
      </c>
      <c r="P33" s="47">
        <v>105.0</v>
      </c>
      <c r="Q33" s="47">
        <v>0.1</v>
      </c>
      <c r="R33" s="47" t="s">
        <v>53</v>
      </c>
      <c r="S33" s="49">
        <v>0.31</v>
      </c>
      <c r="T33" s="47">
        <v>3.9</v>
      </c>
      <c r="U33" s="47">
        <v>428.0</v>
      </c>
      <c r="V33" s="47">
        <v>177.0</v>
      </c>
      <c r="W33" s="47">
        <v>388.0</v>
      </c>
      <c r="X33" s="47">
        <v>35.22</v>
      </c>
      <c r="Y33" s="47">
        <v>7.7</v>
      </c>
      <c r="Z33" s="47">
        <v>19.36</v>
      </c>
      <c r="AA33" s="47">
        <v>1.47</v>
      </c>
      <c r="AB33" s="47" t="s">
        <v>74</v>
      </c>
      <c r="AC33" s="47">
        <v>35.0</v>
      </c>
      <c r="AD33" s="47" t="s">
        <v>53</v>
      </c>
      <c r="AE33" s="47" t="s">
        <v>53</v>
      </c>
    </row>
    <row r="34" spans="1:32" customHeight="1" ht="15.75" s="14" customFormat="1">
      <c r="A34" s="26">
        <v>0</v>
      </c>
      <c r="B34" s="43" t="s">
        <v>118</v>
      </c>
      <c r="C34" s="43">
        <v>734282.0</v>
      </c>
      <c r="D34" s="43">
        <v>9069030.0</v>
      </c>
      <c r="E34" s="43" t="s">
        <v>119</v>
      </c>
      <c r="F34" s="44" t="s">
        <v>120</v>
      </c>
      <c r="G34" s="43">
        <v>658.0</v>
      </c>
      <c r="H34" s="43">
        <v>7.84</v>
      </c>
      <c r="I34" s="43">
        <v>331.0</v>
      </c>
      <c r="J34" s="43">
        <v>23.3</v>
      </c>
      <c r="K34" s="43">
        <v>2.0</v>
      </c>
      <c r="L34" s="43">
        <v>1.7</v>
      </c>
      <c r="M34" s="43">
        <v>3.0</v>
      </c>
      <c r="N34" s="43">
        <v>0.1</v>
      </c>
      <c r="O34" s="45">
        <v>0.06</v>
      </c>
      <c r="P34" s="43">
        <v>78.0</v>
      </c>
      <c r="Q34" s="43">
        <v>0.4</v>
      </c>
      <c r="R34" s="43" t="s">
        <v>53</v>
      </c>
      <c r="S34" s="45">
        <v>0.4</v>
      </c>
      <c r="T34" s="43">
        <v>1.8</v>
      </c>
      <c r="U34" s="43">
        <v>172.0</v>
      </c>
      <c r="V34" s="43">
        <v>54.0</v>
      </c>
      <c r="W34" s="43">
        <v>161.0</v>
      </c>
      <c r="X34" s="43">
        <v>14.15</v>
      </c>
      <c r="Y34" s="43">
        <v>2.35</v>
      </c>
      <c r="Z34" s="43">
        <v>8.03</v>
      </c>
      <c r="AA34" s="43">
        <v>0.71</v>
      </c>
      <c r="AB34" s="43" t="s">
        <v>74</v>
      </c>
      <c r="AC34" s="46" t="s">
        <v>53</v>
      </c>
      <c r="AD34" s="46" t="s">
        <v>53</v>
      </c>
      <c r="AE34" s="46" t="s">
        <v>53</v>
      </c>
    </row>
    <row r="35" spans="1:32" customHeight="1" ht="15.75" s="13" customFormat="1">
      <c r="B35" s="47" t="s">
        <v>121</v>
      </c>
      <c r="C35" s="47">
        <v>735901.0</v>
      </c>
      <c r="D35" s="47">
        <v>9069100.0</v>
      </c>
      <c r="E35" s="47" t="s">
        <v>122</v>
      </c>
      <c r="F35" s="48" t="s">
        <v>123</v>
      </c>
      <c r="G35" s="47">
        <v>837.0</v>
      </c>
      <c r="H35" s="47">
        <v>7.74</v>
      </c>
      <c r="I35" s="47">
        <v>418.0</v>
      </c>
      <c r="J35" s="47">
        <v>24.0</v>
      </c>
      <c r="K35" s="47">
        <v>1.0</v>
      </c>
      <c r="L35" s="47">
        <v>1.0</v>
      </c>
      <c r="M35" s="47">
        <v>3.0</v>
      </c>
      <c r="N35" s="47">
        <v>0.3</v>
      </c>
      <c r="O35" s="49">
        <v>0.06</v>
      </c>
      <c r="P35" s="47">
        <v>88.0</v>
      </c>
      <c r="Q35" s="47">
        <v>0.1</v>
      </c>
      <c r="R35" s="47">
        <v>0.1</v>
      </c>
      <c r="S35" s="47">
        <v>0.2</v>
      </c>
      <c r="T35" s="47">
        <v>7.0</v>
      </c>
      <c r="U35" s="47">
        <v>225.0</v>
      </c>
      <c r="V35" s="47">
        <v>68.0</v>
      </c>
      <c r="W35" s="47">
        <v>235.0</v>
      </c>
      <c r="X35" s="47">
        <v>18.51</v>
      </c>
      <c r="Y35" s="47">
        <v>2.96</v>
      </c>
      <c r="Z35" s="47">
        <v>11.73</v>
      </c>
      <c r="AA35" s="47">
        <v>0.76</v>
      </c>
      <c r="AB35" s="47" t="s">
        <v>74</v>
      </c>
      <c r="AC35" s="47">
        <v>300.0</v>
      </c>
      <c r="AD35" s="47" t="s">
        <v>53</v>
      </c>
      <c r="AE35" s="47" t="s">
        <v>53</v>
      </c>
    </row>
    <row r="36" spans="1:32" customHeight="1" ht="15.75" s="13" customFormat="1">
      <c r="B36" s="47" t="s">
        <v>124</v>
      </c>
      <c r="C36" s="47">
        <v>737136.0</v>
      </c>
      <c r="D36" s="47">
        <v>9069750.0</v>
      </c>
      <c r="E36" s="47" t="s">
        <v>125</v>
      </c>
      <c r="F36" s="48" t="s">
        <v>126</v>
      </c>
      <c r="G36" s="47">
        <v>1408.0</v>
      </c>
      <c r="H36" s="47">
        <v>7.54</v>
      </c>
      <c r="I36" s="47">
        <v>717.0</v>
      </c>
      <c r="J36" s="47">
        <v>23.8</v>
      </c>
      <c r="K36" s="47">
        <v>2.0</v>
      </c>
      <c r="L36" s="47">
        <v>4.2</v>
      </c>
      <c r="M36" s="47">
        <v>1.0</v>
      </c>
      <c r="N36" s="49">
        <v>2.6</v>
      </c>
      <c r="O36" s="47">
        <v>0.03</v>
      </c>
      <c r="P36" s="47">
        <v>101.0</v>
      </c>
      <c r="Q36" s="47">
        <v>0.1</v>
      </c>
      <c r="R36" s="47" t="s">
        <v>53</v>
      </c>
      <c r="S36" s="47">
        <v>0.1</v>
      </c>
      <c r="T36" s="47">
        <v>2.0</v>
      </c>
      <c r="U36" s="47">
        <v>149.0</v>
      </c>
      <c r="V36" s="47">
        <v>150.0</v>
      </c>
      <c r="W36" s="47">
        <v>469.0</v>
      </c>
      <c r="X36" s="47">
        <v>12.26</v>
      </c>
      <c r="Y36" s="47">
        <v>6.52</v>
      </c>
      <c r="Z36" s="47">
        <v>23.4</v>
      </c>
      <c r="AA36" s="47">
        <v>1.55</v>
      </c>
      <c r="AB36" s="47" t="s">
        <v>74</v>
      </c>
      <c r="AC36" s="47">
        <v>300.0</v>
      </c>
      <c r="AD36" s="47" t="s">
        <v>53</v>
      </c>
      <c r="AE36" s="47" t="s">
        <v>53</v>
      </c>
    </row>
    <row r="37" spans="1:32" customHeight="1" ht="15.75" s="14" customFormat="1">
      <c r="B37" s="43" t="s">
        <v>127</v>
      </c>
      <c r="C37" s="43">
        <v>737449.0</v>
      </c>
      <c r="D37" s="43">
        <v>9068190.0</v>
      </c>
      <c r="E37" s="43" t="s">
        <v>128</v>
      </c>
      <c r="F37" s="44" t="s">
        <v>129</v>
      </c>
      <c r="G37" s="43">
        <v>951.0</v>
      </c>
      <c r="H37" s="43">
        <v>8.33</v>
      </c>
      <c r="I37" s="43">
        <v>480.0</v>
      </c>
      <c r="J37" s="43">
        <v>23.5</v>
      </c>
      <c r="K37" s="45">
        <v>29.0</v>
      </c>
      <c r="L37" s="43">
        <v>0.6</v>
      </c>
      <c r="M37" s="45">
        <v>11.0</v>
      </c>
      <c r="N37" s="43">
        <v>0.1</v>
      </c>
      <c r="O37" s="43">
        <v>0.03</v>
      </c>
      <c r="P37" s="43">
        <v>78.0</v>
      </c>
      <c r="Q37" s="45">
        <v>0.8</v>
      </c>
      <c r="R37" s="43">
        <v>0.2</v>
      </c>
      <c r="S37" s="43">
        <v>0.2</v>
      </c>
      <c r="T37" s="43">
        <v>9.6</v>
      </c>
      <c r="U37" s="43">
        <v>55.0</v>
      </c>
      <c r="V37" s="45">
        <v>295.0</v>
      </c>
      <c r="W37" s="43">
        <v>32.0</v>
      </c>
      <c r="X37" s="43">
        <v>4.53</v>
      </c>
      <c r="Y37" s="43">
        <v>12.83</v>
      </c>
      <c r="Z37" s="43">
        <v>1.6</v>
      </c>
      <c r="AA37" s="43">
        <v>7.33</v>
      </c>
      <c r="AB37" s="43" t="s">
        <v>80</v>
      </c>
      <c r="AC37" s="46" t="s">
        <v>53</v>
      </c>
      <c r="AD37" s="46" t="s">
        <v>53</v>
      </c>
      <c r="AE37" s="46" t="s">
        <v>53</v>
      </c>
    </row>
    <row r="38" spans="1:32" customHeight="1" ht="15.75" s="14" customFormat="1">
      <c r="B38" s="43" t="s">
        <v>130</v>
      </c>
      <c r="C38" s="43">
        <v>739125.0</v>
      </c>
      <c r="D38" s="43">
        <v>9069250.0</v>
      </c>
      <c r="E38" s="43" t="s">
        <v>131</v>
      </c>
      <c r="F38" s="44" t="s">
        <v>132</v>
      </c>
      <c r="G38" s="43">
        <v>943.0</v>
      </c>
      <c r="H38" s="43">
        <v>8.2</v>
      </c>
      <c r="I38" s="43">
        <v>487.0</v>
      </c>
      <c r="J38" s="43">
        <v>22.6</v>
      </c>
      <c r="K38" s="45">
        <v>30.0</v>
      </c>
      <c r="L38" s="43">
        <v>1.7</v>
      </c>
      <c r="M38" s="43">
        <v>3.0</v>
      </c>
      <c r="N38" s="43">
        <v>1.1</v>
      </c>
      <c r="O38" s="43">
        <v>0.02</v>
      </c>
      <c r="P38" s="43">
        <v>99.0</v>
      </c>
      <c r="Q38" s="45">
        <v>1.1</v>
      </c>
      <c r="R38" s="43" t="s">
        <v>53</v>
      </c>
      <c r="S38" s="43">
        <v>0.2</v>
      </c>
      <c r="T38" s="43">
        <v>2.7</v>
      </c>
      <c r="U38" s="43">
        <v>108.0</v>
      </c>
      <c r="V38" s="43">
        <v>80.0</v>
      </c>
      <c r="W38" s="43">
        <v>246.0</v>
      </c>
      <c r="X38" s="43">
        <v>8.89</v>
      </c>
      <c r="Y38" s="43">
        <v>3.48</v>
      </c>
      <c r="Z38" s="43">
        <v>12.28</v>
      </c>
      <c r="AA38" s="43">
        <v>1.07</v>
      </c>
      <c r="AB38" s="43" t="s">
        <v>74</v>
      </c>
      <c r="AC38" s="46" t="s">
        <v>53</v>
      </c>
      <c r="AD38" s="46" t="s">
        <v>53</v>
      </c>
      <c r="AE38" s="46" t="s">
        <v>53</v>
      </c>
    </row>
    <row r="39" spans="1:32" customHeight="1" ht="15.75" s="13" customFormat="1">
      <c r="B39" s="47" t="s">
        <v>133</v>
      </c>
      <c r="C39" s="47">
        <v>740612.0</v>
      </c>
      <c r="D39" s="47">
        <v>9068550.0</v>
      </c>
      <c r="E39" s="47" t="s">
        <v>134</v>
      </c>
      <c r="F39" s="48" t="s">
        <v>135</v>
      </c>
      <c r="G39" s="47">
        <v>486.0</v>
      </c>
      <c r="H39" s="47">
        <v>7.66</v>
      </c>
      <c r="I39" s="47">
        <v>250.0</v>
      </c>
      <c r="J39" s="47">
        <v>21.9</v>
      </c>
      <c r="K39" s="47">
        <v>4.0</v>
      </c>
      <c r="L39" s="47">
        <v>1.8</v>
      </c>
      <c r="M39" s="47">
        <v>2.0</v>
      </c>
      <c r="N39" s="47">
        <v>0.2</v>
      </c>
      <c r="O39" s="47">
        <v>0.04</v>
      </c>
      <c r="P39" s="47">
        <v>83.0</v>
      </c>
      <c r="Q39" s="49">
        <v>0.7</v>
      </c>
      <c r="R39" s="47">
        <v>0.0</v>
      </c>
      <c r="S39" s="47">
        <v>0.3</v>
      </c>
      <c r="T39" s="47">
        <v>0.6</v>
      </c>
      <c r="U39" s="47">
        <v>33.0</v>
      </c>
      <c r="V39" s="47">
        <v>29.0</v>
      </c>
      <c r="W39" s="47">
        <v>51.0</v>
      </c>
      <c r="X39" s="47">
        <v>2.72</v>
      </c>
      <c r="Y39" s="47">
        <v>1.26</v>
      </c>
      <c r="Z39" s="47">
        <v>2.55</v>
      </c>
      <c r="AA39" s="47">
        <v>0.78</v>
      </c>
      <c r="AB39" s="47" t="s">
        <v>74</v>
      </c>
      <c r="AC39" s="47">
        <v>20.0</v>
      </c>
      <c r="AD39" s="47">
        <v>0.0</v>
      </c>
      <c r="AE39" s="47">
        <v>0.0</v>
      </c>
    </row>
    <row r="40" spans="1:32" customHeight="1" ht="15.75" s="14" customFormat="1">
      <c r="B40" s="43" t="s">
        <v>136</v>
      </c>
      <c r="C40" s="43">
        <v>742265.0</v>
      </c>
      <c r="D40" s="43">
        <v>9070140.0</v>
      </c>
      <c r="E40" s="43" t="s">
        <v>137</v>
      </c>
      <c r="F40" s="44" t="s">
        <v>138</v>
      </c>
      <c r="G40" s="43">
        <v>666.0</v>
      </c>
      <c r="H40" s="43">
        <v>7.87</v>
      </c>
      <c r="I40" s="43">
        <v>330.0</v>
      </c>
      <c r="J40" s="43">
        <v>24.1</v>
      </c>
      <c r="K40" s="43">
        <v>3.0</v>
      </c>
      <c r="L40" s="43">
        <v>1.4</v>
      </c>
      <c r="M40" s="45">
        <v>5.0</v>
      </c>
      <c r="N40" s="43">
        <v>0.0</v>
      </c>
      <c r="O40" s="43">
        <v>0.02</v>
      </c>
      <c r="P40" s="43">
        <v>72.0</v>
      </c>
      <c r="Q40" s="43">
        <v>0.3</v>
      </c>
      <c r="R40" s="43">
        <v>0.0</v>
      </c>
      <c r="S40" s="45">
        <v>0.4</v>
      </c>
      <c r="T40" s="43">
        <v>1.9</v>
      </c>
      <c r="U40" s="43">
        <v>29.0</v>
      </c>
      <c r="V40" s="43">
        <v>194.0</v>
      </c>
      <c r="W40" s="43">
        <v>41.0</v>
      </c>
      <c r="X40" s="43">
        <v>2.39</v>
      </c>
      <c r="Y40" s="43">
        <v>8.44</v>
      </c>
      <c r="Z40" s="43">
        <v>2.05</v>
      </c>
      <c r="AA40" s="43">
        <v>5.67</v>
      </c>
      <c r="AB40" s="43" t="s">
        <v>80</v>
      </c>
      <c r="AC40" s="46" t="s">
        <v>53</v>
      </c>
      <c r="AD40" s="46" t="s">
        <v>53</v>
      </c>
      <c r="AE40" s="46" t="s">
        <v>53</v>
      </c>
    </row>
    <row r="41" spans="1:32" customHeight="1" ht="15.75" s="13" customFormat="1">
      <c r="B41" s="47" t="s">
        <v>139</v>
      </c>
      <c r="C41" s="47">
        <v>743957.0</v>
      </c>
      <c r="D41" s="47">
        <v>9069170.0</v>
      </c>
      <c r="E41" s="47" t="s">
        <v>140</v>
      </c>
      <c r="F41" s="48" t="s">
        <v>141</v>
      </c>
      <c r="G41" s="49">
        <v>1537.0</v>
      </c>
      <c r="H41" s="47">
        <v>7.18</v>
      </c>
      <c r="I41" s="47">
        <v>803.0</v>
      </c>
      <c r="J41" s="47">
        <v>22.8</v>
      </c>
      <c r="K41" s="47">
        <v>2.0</v>
      </c>
      <c r="L41" s="47">
        <v>2.0</v>
      </c>
      <c r="M41" s="47">
        <v>0.0</v>
      </c>
      <c r="N41" s="49">
        <v>2.9</v>
      </c>
      <c r="O41" s="47">
        <v>0.03</v>
      </c>
      <c r="P41" s="47">
        <v>108.0</v>
      </c>
      <c r="Q41" s="47">
        <v>0.1</v>
      </c>
      <c r="R41" s="47">
        <v>0.1</v>
      </c>
      <c r="S41" s="47">
        <v>0.2</v>
      </c>
      <c r="T41" s="47">
        <v>0.7</v>
      </c>
      <c r="U41" s="47">
        <v>184.0</v>
      </c>
      <c r="V41" s="47">
        <v>196.0</v>
      </c>
      <c r="W41" s="47">
        <v>724.0</v>
      </c>
      <c r="X41" s="47">
        <v>15.14</v>
      </c>
      <c r="Y41" s="47">
        <v>8.53</v>
      </c>
      <c r="Z41" s="47">
        <v>36.13</v>
      </c>
      <c r="AA41" s="47">
        <v>1.68</v>
      </c>
      <c r="AB41" s="47" t="s">
        <v>74</v>
      </c>
      <c r="AC41" s="47">
        <v>220.0</v>
      </c>
      <c r="AD41" s="47">
        <v>1.0</v>
      </c>
      <c r="AE41" s="47">
        <v>1.0</v>
      </c>
    </row>
    <row r="42" spans="1:32" customHeight="1" ht="15.75" s="14" customFormat="1">
      <c r="B42" s="43" t="s">
        <v>142</v>
      </c>
      <c r="C42" s="43">
        <v>744571.0</v>
      </c>
      <c r="D42" s="43">
        <v>9070540.0</v>
      </c>
      <c r="E42" s="43" t="s">
        <v>143</v>
      </c>
      <c r="F42" s="44" t="s">
        <v>144</v>
      </c>
      <c r="G42" s="43">
        <v>534.0</v>
      </c>
      <c r="H42" s="43">
        <v>7.38</v>
      </c>
      <c r="I42" s="43">
        <v>268.0</v>
      </c>
      <c r="J42" s="43">
        <v>23.4</v>
      </c>
      <c r="K42" s="45">
        <v>9.0</v>
      </c>
      <c r="L42" s="43">
        <v>0.4</v>
      </c>
      <c r="M42" s="43">
        <v>2.0</v>
      </c>
      <c r="N42" s="43">
        <v>0.0</v>
      </c>
      <c r="O42" s="43">
        <v>0.04</v>
      </c>
      <c r="P42" s="43">
        <v>76.0</v>
      </c>
      <c r="Q42" s="43">
        <v>0.3</v>
      </c>
      <c r="R42" s="43">
        <v>0.0</v>
      </c>
      <c r="S42" s="45">
        <v>0.5</v>
      </c>
      <c r="T42" s="43">
        <v>0.6</v>
      </c>
      <c r="U42" s="43">
        <v>59.0</v>
      </c>
      <c r="V42" s="43">
        <v>57.0</v>
      </c>
      <c r="W42" s="43">
        <v>108.0</v>
      </c>
      <c r="X42" s="43">
        <v>4.85</v>
      </c>
      <c r="Y42" s="43">
        <v>2.48</v>
      </c>
      <c r="Z42" s="43">
        <v>5.39</v>
      </c>
      <c r="AA42" s="43">
        <v>1.1</v>
      </c>
      <c r="AB42" s="43" t="s">
        <v>74</v>
      </c>
      <c r="AC42" s="46" t="s">
        <v>53</v>
      </c>
      <c r="AD42" s="46" t="s">
        <v>53</v>
      </c>
      <c r="AE42" s="46" t="s">
        <v>53</v>
      </c>
    </row>
    <row r="43" spans="1:32" customHeight="1" ht="15.75" s="14" customFormat="1">
      <c r="B43" s="43" t="s">
        <v>145</v>
      </c>
      <c r="C43" s="43">
        <v>746692.0</v>
      </c>
      <c r="D43" s="43">
        <v>9070150.0</v>
      </c>
      <c r="E43" s="43" t="s">
        <v>146</v>
      </c>
      <c r="F43" s="44" t="s">
        <v>147</v>
      </c>
      <c r="G43" s="43" t="s">
        <v>53</v>
      </c>
      <c r="H43" s="43" t="s">
        <v>53</v>
      </c>
      <c r="I43" s="43" t="s">
        <v>53</v>
      </c>
      <c r="J43" s="43" t="s">
        <v>53</v>
      </c>
      <c r="K43" s="43" t="s">
        <v>53</v>
      </c>
      <c r="L43" s="43" t="s">
        <v>53</v>
      </c>
      <c r="M43" s="43" t="s">
        <v>53</v>
      </c>
      <c r="N43" s="43" t="s">
        <v>53</v>
      </c>
      <c r="O43" s="43" t="s">
        <v>53</v>
      </c>
      <c r="P43" s="43" t="s">
        <v>53</v>
      </c>
      <c r="Q43" s="43" t="s">
        <v>53</v>
      </c>
      <c r="R43" s="43" t="s">
        <v>53</v>
      </c>
      <c r="S43" s="43" t="s">
        <v>53</v>
      </c>
      <c r="T43" s="43" t="s">
        <v>53</v>
      </c>
      <c r="U43" s="43" t="s">
        <v>53</v>
      </c>
      <c r="V43" s="43" t="s">
        <v>53</v>
      </c>
      <c r="W43" s="43" t="s">
        <v>53</v>
      </c>
      <c r="X43" s="43" t="s">
        <v>53</v>
      </c>
      <c r="Y43" s="43" t="s">
        <v>53</v>
      </c>
      <c r="Z43" s="43" t="s">
        <v>53</v>
      </c>
      <c r="AA43" s="43" t="s">
        <v>53</v>
      </c>
      <c r="AB43" s="43" t="s">
        <v>53</v>
      </c>
      <c r="AC43" s="46" t="s">
        <v>53</v>
      </c>
      <c r="AD43" s="46" t="s">
        <v>53</v>
      </c>
      <c r="AE43" s="46" t="s">
        <v>53</v>
      </c>
    </row>
    <row r="44" spans="1:32" customHeight="1" ht="15.75" s="13" customFormat="1">
      <c r="B44" s="47" t="s">
        <v>148</v>
      </c>
      <c r="C44" s="47">
        <v>745201.0</v>
      </c>
      <c r="D44" s="47">
        <v>9068780.0</v>
      </c>
      <c r="E44" s="47" t="s">
        <v>149</v>
      </c>
      <c r="F44" s="48" t="s">
        <v>150</v>
      </c>
      <c r="G44" s="47">
        <v>713.0</v>
      </c>
      <c r="H44" s="47">
        <v>7.05</v>
      </c>
      <c r="I44" s="47">
        <v>363.0</v>
      </c>
      <c r="J44" s="47">
        <v>22.9</v>
      </c>
      <c r="K44" s="47">
        <v>3.0</v>
      </c>
      <c r="L44" s="47">
        <v>1.0</v>
      </c>
      <c r="M44" s="47">
        <v>0.0</v>
      </c>
      <c r="N44" s="47">
        <v>0.2</v>
      </c>
      <c r="O44" s="47">
        <v>0.04</v>
      </c>
      <c r="P44" s="47">
        <v>90.0</v>
      </c>
      <c r="Q44" s="47">
        <v>0.4</v>
      </c>
      <c r="R44" s="47">
        <v>0.0</v>
      </c>
      <c r="S44" s="47">
        <v>0.2</v>
      </c>
      <c r="T44" s="47">
        <v>0.3</v>
      </c>
      <c r="U44" s="47">
        <v>48.0</v>
      </c>
      <c r="V44" s="47">
        <v>56.0</v>
      </c>
      <c r="W44" s="47">
        <v>96.0</v>
      </c>
      <c r="X44" s="47">
        <v>3.95</v>
      </c>
      <c r="Y44" s="47">
        <v>2.44</v>
      </c>
      <c r="Z44" s="47">
        <v>4.79</v>
      </c>
      <c r="AA44" s="47">
        <v>1.17</v>
      </c>
      <c r="AB44" s="47" t="s">
        <v>74</v>
      </c>
      <c r="AC44" s="47">
        <v>90.0</v>
      </c>
      <c r="AD44" s="47">
        <v>0.0</v>
      </c>
      <c r="AE44" s="47">
        <v>0.0</v>
      </c>
    </row>
    <row r="45" spans="1:32" customHeight="1" ht="15.75" s="13" customFormat="1">
      <c r="B45" s="47" t="s">
        <v>151</v>
      </c>
      <c r="C45" s="47">
        <v>750110.0</v>
      </c>
      <c r="D45" s="47">
        <v>9070050.0</v>
      </c>
      <c r="E45" s="47" t="s">
        <v>152</v>
      </c>
      <c r="F45" s="48" t="s">
        <v>153</v>
      </c>
      <c r="G45" s="47">
        <v>933.0</v>
      </c>
      <c r="H45" s="47">
        <v>6.86</v>
      </c>
      <c r="I45" s="47">
        <v>472.0</v>
      </c>
      <c r="J45" s="47">
        <v>23.5</v>
      </c>
      <c r="K45" s="47">
        <v>5.0</v>
      </c>
      <c r="L45" s="47">
        <v>0.3</v>
      </c>
      <c r="M45" s="47">
        <v>2.0</v>
      </c>
      <c r="N45" s="47">
        <v>0.1</v>
      </c>
      <c r="O45" s="47">
        <v>0.01</v>
      </c>
      <c r="P45" s="47">
        <v>86.0</v>
      </c>
      <c r="Q45" s="47">
        <v>0.1</v>
      </c>
      <c r="R45" s="47">
        <v>0.0</v>
      </c>
      <c r="S45" s="47">
        <v>0.1</v>
      </c>
      <c r="T45" s="47">
        <v>0.8</v>
      </c>
      <c r="U45" s="47">
        <v>59.0</v>
      </c>
      <c r="V45" s="47">
        <v>69.0</v>
      </c>
      <c r="W45" s="47">
        <v>115.0</v>
      </c>
      <c r="X45" s="47">
        <v>4.85</v>
      </c>
      <c r="Y45" s="47">
        <v>3.0</v>
      </c>
      <c r="Z45" s="47">
        <v>5.74</v>
      </c>
      <c r="AA45" s="47">
        <v>1.3</v>
      </c>
      <c r="AB45" s="47" t="s">
        <v>74</v>
      </c>
      <c r="AC45" s="47">
        <v>30.0</v>
      </c>
      <c r="AD45" s="47">
        <v>0.0</v>
      </c>
      <c r="AE45" s="47">
        <v>0.0</v>
      </c>
    </row>
    <row r="46" spans="1:32" customHeight="1" ht="15.75" s="13" customFormat="1">
      <c r="B46" s="47" t="s">
        <v>154</v>
      </c>
      <c r="C46" s="47">
        <v>749359.0</v>
      </c>
      <c r="D46" s="47">
        <v>9070860.0</v>
      </c>
      <c r="E46" s="47" t="s">
        <v>155</v>
      </c>
      <c r="F46" s="48" t="s">
        <v>156</v>
      </c>
      <c r="G46" s="47">
        <v>636.0</v>
      </c>
      <c r="H46" s="47">
        <v>6.92</v>
      </c>
      <c r="I46" s="47">
        <v>322.0</v>
      </c>
      <c r="J46" s="47">
        <v>23.2</v>
      </c>
      <c r="K46" s="47">
        <v>5.0</v>
      </c>
      <c r="L46" s="47">
        <v>0.3</v>
      </c>
      <c r="M46" s="47">
        <v>2.0</v>
      </c>
      <c r="N46" s="47">
        <v>0.1</v>
      </c>
      <c r="O46" s="47">
        <v>0.03</v>
      </c>
      <c r="P46" s="47">
        <v>83.0</v>
      </c>
      <c r="Q46" s="49">
        <v>0.5</v>
      </c>
      <c r="R46" s="47">
        <v>0.1</v>
      </c>
      <c r="S46" s="47">
        <v>0.2</v>
      </c>
      <c r="T46" s="47">
        <v>0.4</v>
      </c>
      <c r="U46" s="47">
        <v>45.0</v>
      </c>
      <c r="V46" s="47">
        <v>52.0</v>
      </c>
      <c r="W46" s="47">
        <v>74.0</v>
      </c>
      <c r="X46" s="47">
        <v>3.7</v>
      </c>
      <c r="Y46" s="47">
        <v>2.26</v>
      </c>
      <c r="Z46" s="47">
        <v>3.69</v>
      </c>
      <c r="AA46" s="47">
        <v>1.18</v>
      </c>
      <c r="AB46" s="47" t="s">
        <v>74</v>
      </c>
      <c r="AC46" s="47">
        <v>60.0</v>
      </c>
      <c r="AD46" s="47">
        <v>0.0</v>
      </c>
      <c r="AE46" s="47">
        <v>0.0</v>
      </c>
    </row>
    <row r="47" spans="1:32" customHeight="1" ht="15.75" s="13" customFormat="1">
      <c r="B47" s="47" t="s">
        <v>157</v>
      </c>
      <c r="C47" s="47">
        <v>747809.0</v>
      </c>
      <c r="D47" s="47">
        <v>9068940.0</v>
      </c>
      <c r="E47" s="47" t="s">
        <v>158</v>
      </c>
      <c r="F47" s="48" t="s">
        <v>159</v>
      </c>
      <c r="G47" s="47">
        <v>784.0</v>
      </c>
      <c r="H47" s="47">
        <v>6.99</v>
      </c>
      <c r="I47" s="47">
        <v>394.0</v>
      </c>
      <c r="J47" s="47">
        <v>23.6</v>
      </c>
      <c r="K47" s="49">
        <v>7.0</v>
      </c>
      <c r="L47" s="47">
        <v>0.8</v>
      </c>
      <c r="M47" s="47">
        <v>1.0</v>
      </c>
      <c r="N47" s="47">
        <v>0.2</v>
      </c>
      <c r="O47" s="47">
        <v>0.05</v>
      </c>
      <c r="P47" s="47">
        <v>88.0</v>
      </c>
      <c r="Q47" s="49">
        <v>0.7</v>
      </c>
      <c r="R47" s="47">
        <v>0.0</v>
      </c>
      <c r="S47" s="49">
        <v>0.4</v>
      </c>
      <c r="T47" s="47">
        <v>0.7</v>
      </c>
      <c r="U47" s="47">
        <v>65.0</v>
      </c>
      <c r="V47" s="47">
        <v>73.0</v>
      </c>
      <c r="W47" s="47">
        <v>108.0</v>
      </c>
      <c r="X47" s="47">
        <v>5.35</v>
      </c>
      <c r="Y47" s="47">
        <v>3.18</v>
      </c>
      <c r="Z47" s="47">
        <v>5.39</v>
      </c>
      <c r="AA47" s="47">
        <v>1.37</v>
      </c>
      <c r="AB47" s="47" t="s">
        <v>74</v>
      </c>
      <c r="AC47" s="47">
        <v>80.0</v>
      </c>
      <c r="AD47" s="47">
        <v>0.0</v>
      </c>
      <c r="AE47" s="47">
        <v>0.0</v>
      </c>
    </row>
    <row r="48" spans="1:32" customHeight="1" ht="15.75" s="13" customFormat="1">
      <c r="B48" s="47" t="s">
        <v>160</v>
      </c>
      <c r="C48" s="47">
        <v>749429.0</v>
      </c>
      <c r="D48" s="47">
        <v>9068780.0</v>
      </c>
      <c r="E48" s="47" t="s">
        <v>161</v>
      </c>
      <c r="F48" s="48" t="s">
        <v>162</v>
      </c>
      <c r="G48" s="47">
        <v>684.0</v>
      </c>
      <c r="H48" s="47">
        <v>7.47</v>
      </c>
      <c r="I48" s="47">
        <v>352.0</v>
      </c>
      <c r="J48" s="47">
        <v>22.3</v>
      </c>
      <c r="K48" s="49">
        <v>6.0</v>
      </c>
      <c r="L48" s="47">
        <v>0.6</v>
      </c>
      <c r="M48" s="47">
        <v>1.0</v>
      </c>
      <c r="N48" s="47">
        <v>0.1</v>
      </c>
      <c r="O48" s="47">
        <v>0.05</v>
      </c>
      <c r="P48" s="47">
        <v>90.0</v>
      </c>
      <c r="Q48" s="47">
        <v>0.2</v>
      </c>
      <c r="R48" s="47">
        <v>0.2</v>
      </c>
      <c r="S48" s="47">
        <v>0.3</v>
      </c>
      <c r="T48" s="47">
        <v>1.5</v>
      </c>
      <c r="U48" s="47">
        <v>73.0</v>
      </c>
      <c r="V48" s="47">
        <v>57.0</v>
      </c>
      <c r="W48" s="47">
        <v>156.0</v>
      </c>
      <c r="X48" s="47">
        <v>6.01</v>
      </c>
      <c r="Y48" s="47">
        <v>2.48</v>
      </c>
      <c r="Z48" s="47">
        <v>7.78</v>
      </c>
      <c r="AA48" s="47">
        <v>0.94</v>
      </c>
      <c r="AB48" s="47" t="s">
        <v>74</v>
      </c>
      <c r="AC48" s="47">
        <v>115.0</v>
      </c>
      <c r="AD48" s="47">
        <v>0.0</v>
      </c>
      <c r="AE48" s="47">
        <v>0.0</v>
      </c>
    </row>
    <row r="49" spans="1:32" customHeight="1" ht="15.75" s="14" customFormat="1">
      <c r="B49" s="43" t="s">
        <v>163</v>
      </c>
      <c r="C49" s="43">
        <v>746969.0</v>
      </c>
      <c r="D49" s="43">
        <v>9067860.0</v>
      </c>
      <c r="E49" s="43" t="s">
        <v>164</v>
      </c>
      <c r="F49" s="44">
        <v>0</v>
      </c>
      <c r="G49" s="43">
        <v>797.0</v>
      </c>
      <c r="H49" s="43">
        <v>7.19</v>
      </c>
      <c r="I49" s="43">
        <v>401.0</v>
      </c>
      <c r="J49" s="43">
        <v>23.7</v>
      </c>
      <c r="K49" s="45">
        <v>20.0</v>
      </c>
      <c r="L49" s="43">
        <v>1.1</v>
      </c>
      <c r="M49" s="43">
        <v>1.0</v>
      </c>
      <c r="N49" s="43">
        <v>0.2</v>
      </c>
      <c r="O49" s="43">
        <v>0.02</v>
      </c>
      <c r="P49" s="43">
        <v>90.0</v>
      </c>
      <c r="Q49" s="45">
        <v>0.5</v>
      </c>
      <c r="R49" s="43">
        <v>0.1</v>
      </c>
      <c r="S49" s="43">
        <v>0.1</v>
      </c>
      <c r="T49" s="43">
        <v>0.3</v>
      </c>
      <c r="U49" s="43">
        <v>45.0</v>
      </c>
      <c r="V49" s="43">
        <v>63.0</v>
      </c>
      <c r="W49" s="43">
        <v>43.0</v>
      </c>
      <c r="X49" s="43">
        <v>3.7</v>
      </c>
      <c r="Y49" s="43">
        <v>2.74</v>
      </c>
      <c r="Z49" s="43">
        <v>2.15</v>
      </c>
      <c r="AA49" s="43">
        <v>1.6</v>
      </c>
      <c r="AB49" s="43" t="s">
        <v>74</v>
      </c>
      <c r="AC49" s="46" t="s">
        <v>53</v>
      </c>
      <c r="AD49" s="46" t="s">
        <v>53</v>
      </c>
      <c r="AE49" s="46" t="s">
        <v>53</v>
      </c>
    </row>
    <row r="50" spans="1:32" customHeight="1" ht="15.75" s="14" customFormat="1">
      <c r="B50" s="43" t="s">
        <v>165</v>
      </c>
      <c r="C50" s="43">
        <v>748919.0</v>
      </c>
      <c r="D50" s="43">
        <v>9066830.0</v>
      </c>
      <c r="E50" s="43" t="s">
        <v>166</v>
      </c>
      <c r="F50" s="44" t="s">
        <v>167</v>
      </c>
      <c r="G50" s="45">
        <v>2970.0</v>
      </c>
      <c r="H50" s="43">
        <v>7.54</v>
      </c>
      <c r="I50" s="45">
        <v>1514.0</v>
      </c>
      <c r="J50" s="43">
        <v>25.3</v>
      </c>
      <c r="K50" s="45">
        <v>15.0</v>
      </c>
      <c r="L50" s="43">
        <v>1.9</v>
      </c>
      <c r="M50" s="43">
        <v>1.0</v>
      </c>
      <c r="N50" s="45">
        <v>3.3</v>
      </c>
      <c r="O50" s="43">
        <v>0.03</v>
      </c>
      <c r="P50" s="43">
        <v>107.0</v>
      </c>
      <c r="Q50" s="43">
        <v>0.3</v>
      </c>
      <c r="R50" s="43">
        <v>0.3</v>
      </c>
      <c r="S50" s="43">
        <v>0.3</v>
      </c>
      <c r="T50" s="43">
        <v>2.3</v>
      </c>
      <c r="U50" s="43">
        <v>281.0</v>
      </c>
      <c r="V50" s="45">
        <v>839.0</v>
      </c>
      <c r="W50" s="43">
        <v>796.0</v>
      </c>
      <c r="X50" s="43">
        <v>23.12</v>
      </c>
      <c r="Y50" s="43">
        <v>36.5</v>
      </c>
      <c r="Z50" s="43">
        <v>39.72</v>
      </c>
      <c r="AA50" s="43">
        <v>6.51</v>
      </c>
      <c r="AB50" s="43" t="s">
        <v>80</v>
      </c>
      <c r="AC50" s="46" t="s">
        <v>53</v>
      </c>
      <c r="AD50" s="46" t="s">
        <v>53</v>
      </c>
      <c r="AE50" s="46" t="s">
        <v>53</v>
      </c>
    </row>
    <row r="51" spans="1:32" customHeight="1" ht="15.75" s="13" customFormat="1">
      <c r="B51" s="47" t="s">
        <v>168</v>
      </c>
      <c r="C51" s="47">
        <v>745947.0</v>
      </c>
      <c r="D51" s="47">
        <v>9066870.0</v>
      </c>
      <c r="E51" s="47" t="s">
        <v>169</v>
      </c>
      <c r="F51" s="48" t="s">
        <v>170</v>
      </c>
      <c r="G51" s="47">
        <v>631.0</v>
      </c>
      <c r="H51" s="47">
        <v>7.16</v>
      </c>
      <c r="I51" s="47">
        <v>325.0</v>
      </c>
      <c r="J51" s="47">
        <v>22.2</v>
      </c>
      <c r="K51" s="47">
        <v>2.0</v>
      </c>
      <c r="L51" s="47">
        <v>1.9</v>
      </c>
      <c r="M51" s="47">
        <v>1.0</v>
      </c>
      <c r="N51" s="47">
        <v>0.3</v>
      </c>
      <c r="O51" s="47">
        <v>0.05</v>
      </c>
      <c r="P51" s="47">
        <v>91.0</v>
      </c>
      <c r="Q51" s="49">
        <v>0.6</v>
      </c>
      <c r="R51" s="47">
        <v>0.3</v>
      </c>
      <c r="S51" s="47">
        <v>0.3</v>
      </c>
      <c r="T51" s="47">
        <v>1.0</v>
      </c>
      <c r="U51" s="47">
        <v>72.0</v>
      </c>
      <c r="V51" s="47">
        <v>44.0</v>
      </c>
      <c r="W51" s="47">
        <v>92.0</v>
      </c>
      <c r="X51" s="47">
        <v>5.92</v>
      </c>
      <c r="Y51" s="47">
        <v>1.91</v>
      </c>
      <c r="Z51" s="47">
        <v>4.59</v>
      </c>
      <c r="AA51" s="47">
        <v>0.83</v>
      </c>
      <c r="AB51" s="47" t="s">
        <v>74</v>
      </c>
      <c r="AC51" s="47">
        <v>30.0</v>
      </c>
      <c r="AD51" s="47">
        <v>0.0</v>
      </c>
      <c r="AE51" s="47">
        <v>0.0</v>
      </c>
    </row>
    <row r="52" spans="1:32" customHeight="1" ht="15.75" s="13" customFormat="1">
      <c r="B52" s="47" t="s">
        <v>171</v>
      </c>
      <c r="C52" s="47">
        <v>746836.0</v>
      </c>
      <c r="D52" s="47">
        <v>9065700.0</v>
      </c>
      <c r="E52" s="47" t="s">
        <v>172</v>
      </c>
      <c r="F52" s="48">
        <v>0</v>
      </c>
      <c r="G52" s="49">
        <v>2230.0</v>
      </c>
      <c r="H52" s="47">
        <v>7.65</v>
      </c>
      <c r="I52" s="49">
        <v>1164.0</v>
      </c>
      <c r="J52" s="47">
        <v>23.4</v>
      </c>
      <c r="K52" s="49">
        <v>13.0</v>
      </c>
      <c r="L52" s="47">
        <v>0.1</v>
      </c>
      <c r="M52" s="47">
        <v>1.0</v>
      </c>
      <c r="N52" s="49">
        <v>3.8</v>
      </c>
      <c r="O52" s="47">
        <v>0.05</v>
      </c>
      <c r="P52" s="47">
        <v>96.0</v>
      </c>
      <c r="Q52" s="47">
        <v>0.1</v>
      </c>
      <c r="R52" s="47">
        <v>0.2</v>
      </c>
      <c r="S52" s="47">
        <v>0.1</v>
      </c>
      <c r="T52" s="47">
        <v>13.0</v>
      </c>
      <c r="U52" s="47">
        <v>467.0</v>
      </c>
      <c r="V52" s="49">
        <v>261.0</v>
      </c>
      <c r="W52" s="47">
        <v>709.0</v>
      </c>
      <c r="X52" s="47">
        <v>38.43</v>
      </c>
      <c r="Y52" s="47">
        <v>11.35</v>
      </c>
      <c r="Z52" s="47">
        <v>35.38</v>
      </c>
      <c r="AA52" s="47">
        <v>1.87</v>
      </c>
      <c r="AB52" s="47" t="s">
        <v>74</v>
      </c>
      <c r="AC52" s="47">
        <v>30.0</v>
      </c>
      <c r="AD52" s="47">
        <v>0.0</v>
      </c>
      <c r="AE52" s="47">
        <v>0.0</v>
      </c>
    </row>
    <row r="53" spans="1:32" customHeight="1" ht="15.75" s="14" customFormat="1">
      <c r="B53" s="43" t="s">
        <v>173</v>
      </c>
      <c r="C53" s="43">
        <v>745798.0</v>
      </c>
      <c r="D53" s="43">
        <v>9064110.0</v>
      </c>
      <c r="E53" s="43" t="s">
        <v>174</v>
      </c>
      <c r="F53" s="44" t="s">
        <v>175</v>
      </c>
      <c r="G53" s="45">
        <v>2560.0</v>
      </c>
      <c r="H53" s="43">
        <v>8.46</v>
      </c>
      <c r="I53" s="45">
        <v>1255.0</v>
      </c>
      <c r="J53" s="43">
        <v>26.7</v>
      </c>
      <c r="K53" s="43">
        <v>2.0</v>
      </c>
      <c r="L53" s="43">
        <v>0.9</v>
      </c>
      <c r="M53" s="43">
        <v>1.0</v>
      </c>
      <c r="N53" s="43">
        <v>0.1</v>
      </c>
      <c r="O53" s="43">
        <v>0.03</v>
      </c>
      <c r="P53" s="43">
        <v>107.0</v>
      </c>
      <c r="Q53" s="45">
        <v>0.5</v>
      </c>
      <c r="R53" s="43">
        <v>0.6</v>
      </c>
      <c r="S53" s="43">
        <v>0.1</v>
      </c>
      <c r="T53" s="43">
        <v>1.9</v>
      </c>
      <c r="U53" s="43">
        <v>27.0</v>
      </c>
      <c r="V53" s="45">
        <v>1161.0</v>
      </c>
      <c r="W53" s="43">
        <v>22.0</v>
      </c>
      <c r="X53" s="43">
        <v>2.22</v>
      </c>
      <c r="Y53" s="43">
        <v>50.5</v>
      </c>
      <c r="Z53" s="43">
        <v>1.1</v>
      </c>
      <c r="AA53" s="43">
        <v>39.2</v>
      </c>
      <c r="AB53" s="43" t="s">
        <v>54</v>
      </c>
      <c r="AC53" s="46" t="s">
        <v>53</v>
      </c>
      <c r="AD53" s="46" t="s">
        <v>53</v>
      </c>
      <c r="AE53" s="46" t="s">
        <v>53</v>
      </c>
    </row>
    <row r="54" spans="1:32" customHeight="1" ht="15.75" s="13" customFormat="1">
      <c r="B54" s="47" t="s">
        <v>176</v>
      </c>
      <c r="C54" s="47">
        <v>744545.0</v>
      </c>
      <c r="D54" s="47">
        <v>9064330.0</v>
      </c>
      <c r="E54" s="47" t="s">
        <v>177</v>
      </c>
      <c r="F54" s="48" t="s">
        <v>178</v>
      </c>
      <c r="G54" s="49">
        <v>1852.0</v>
      </c>
      <c r="H54" s="47">
        <v>7.59</v>
      </c>
      <c r="I54" s="47">
        <v>933.0</v>
      </c>
      <c r="J54" s="47">
        <v>25.0</v>
      </c>
      <c r="K54" s="47">
        <v>1.0</v>
      </c>
      <c r="L54" s="47">
        <v>0.1</v>
      </c>
      <c r="M54" s="47">
        <v>2.0</v>
      </c>
      <c r="N54" s="47">
        <v>0.4</v>
      </c>
      <c r="O54" s="49">
        <v>0.07</v>
      </c>
      <c r="P54" s="47">
        <v>105.0</v>
      </c>
      <c r="Q54" s="47">
        <v>0.4</v>
      </c>
      <c r="R54" s="47">
        <v>0.1</v>
      </c>
      <c r="S54" s="47">
        <v>0.2</v>
      </c>
      <c r="T54" s="47">
        <v>1.3</v>
      </c>
      <c r="U54" s="47">
        <v>95.0</v>
      </c>
      <c r="V54" s="49">
        <v>578.0</v>
      </c>
      <c r="W54" s="47">
        <v>140.0</v>
      </c>
      <c r="X54" s="47">
        <v>7.82</v>
      </c>
      <c r="Y54" s="47">
        <v>25.14</v>
      </c>
      <c r="Z54" s="47">
        <v>6.99</v>
      </c>
      <c r="AA54" s="47">
        <v>9.24</v>
      </c>
      <c r="AB54" s="47" t="s">
        <v>54</v>
      </c>
      <c r="AC54" s="47">
        <v>55.0</v>
      </c>
      <c r="AD54" s="47">
        <v>0.0</v>
      </c>
      <c r="AE54" s="47">
        <v>0.0</v>
      </c>
    </row>
    <row r="55" spans="1:32" customHeight="1" ht="15.75" s="14" customFormat="1">
      <c r="B55" s="43" t="s">
        <v>179</v>
      </c>
      <c r="C55" s="43">
        <v>744008.0</v>
      </c>
      <c r="D55" s="43">
        <v>9065450.0</v>
      </c>
      <c r="E55" s="43" t="s">
        <v>180</v>
      </c>
      <c r="F55" s="44" t="s">
        <v>181</v>
      </c>
      <c r="G55" s="43">
        <v>781.0</v>
      </c>
      <c r="H55" s="43">
        <v>7.35</v>
      </c>
      <c r="I55" s="43">
        <v>387.0</v>
      </c>
      <c r="J55" s="43">
        <v>24.3</v>
      </c>
      <c r="K55" s="43">
        <v>3.0</v>
      </c>
      <c r="L55" s="43">
        <v>0.2</v>
      </c>
      <c r="M55" s="43">
        <v>2.0</v>
      </c>
      <c r="N55" s="43">
        <v>0.8</v>
      </c>
      <c r="O55" s="43">
        <v>0.04</v>
      </c>
      <c r="P55" s="43">
        <v>92.0</v>
      </c>
      <c r="Q55" s="45">
        <v>0.6</v>
      </c>
      <c r="R55" s="43">
        <v>0.1</v>
      </c>
      <c r="S55" s="43">
        <v>0.1</v>
      </c>
      <c r="T55" s="43">
        <v>0.3</v>
      </c>
      <c r="U55" s="43">
        <v>65.0</v>
      </c>
      <c r="V55" s="43">
        <v>53.0</v>
      </c>
      <c r="W55" s="43">
        <v>132.0</v>
      </c>
      <c r="X55" s="43">
        <v>5.35</v>
      </c>
      <c r="Y55" s="43">
        <v>2.31</v>
      </c>
      <c r="Z55" s="43">
        <v>6.59</v>
      </c>
      <c r="AA55" s="43">
        <v>0.94</v>
      </c>
      <c r="AB55" s="43" t="s">
        <v>74</v>
      </c>
      <c r="AC55" s="46" t="s">
        <v>53</v>
      </c>
      <c r="AD55" s="46" t="s">
        <v>53</v>
      </c>
      <c r="AE55" s="46" t="s">
        <v>53</v>
      </c>
    </row>
    <row r="56" spans="1:32" customHeight="1" ht="24.75" s="13" customFormat="1">
      <c r="B56" s="47" t="s">
        <v>182</v>
      </c>
      <c r="C56" s="47">
        <v>742621.0</v>
      </c>
      <c r="D56" s="47">
        <v>9064820.0</v>
      </c>
      <c r="E56" s="47" t="s">
        <v>183</v>
      </c>
      <c r="F56" s="48" t="s">
        <v>184</v>
      </c>
      <c r="G56" s="47">
        <v>833.0</v>
      </c>
      <c r="H56" s="47">
        <v>7.75</v>
      </c>
      <c r="I56" s="47">
        <v>412.0</v>
      </c>
      <c r="J56" s="47">
        <v>24.5</v>
      </c>
      <c r="K56" s="49">
        <v>11.0</v>
      </c>
      <c r="L56" s="47">
        <v>0.9</v>
      </c>
      <c r="M56" s="49">
        <v>5.0</v>
      </c>
      <c r="N56" s="47">
        <v>0.0</v>
      </c>
      <c r="O56" s="49">
        <v>0.08</v>
      </c>
      <c r="P56" s="47">
        <v>91.0</v>
      </c>
      <c r="Q56" s="47">
        <v>0.2</v>
      </c>
      <c r="R56" s="47">
        <v>0.2</v>
      </c>
      <c r="S56" s="47">
        <v>0.2</v>
      </c>
      <c r="T56" s="47">
        <v>1.1</v>
      </c>
      <c r="U56" s="47">
        <v>88.0</v>
      </c>
      <c r="V56" s="47">
        <v>53.0</v>
      </c>
      <c r="W56" s="47">
        <v>103.0</v>
      </c>
      <c r="X56" s="47">
        <v>7.24</v>
      </c>
      <c r="Y56" s="47">
        <v>2.31</v>
      </c>
      <c r="Z56" s="47">
        <v>5.14</v>
      </c>
      <c r="AA56" s="47">
        <v>0.93</v>
      </c>
      <c r="AB56" s="47" t="s">
        <v>74</v>
      </c>
      <c r="AC56" s="47">
        <v>250.0</v>
      </c>
      <c r="AD56" s="47">
        <v>0.0</v>
      </c>
      <c r="AE56" s="47">
        <v>0.0</v>
      </c>
    </row>
    <row r="57" spans="1:32" customHeight="1" ht="24.75" s="13" customFormat="1">
      <c r="B57" s="47" t="s">
        <v>185</v>
      </c>
      <c r="C57" s="47">
        <v>742063.0</v>
      </c>
      <c r="D57" s="47">
        <v>9066520.0</v>
      </c>
      <c r="E57" s="47" t="s">
        <v>186</v>
      </c>
      <c r="F57" s="48" t="s">
        <v>187</v>
      </c>
      <c r="G57" s="47">
        <v>1051.0</v>
      </c>
      <c r="H57" s="47">
        <v>7.46</v>
      </c>
      <c r="I57" s="47">
        <v>534.0</v>
      </c>
      <c r="J57" s="47">
        <v>23.4</v>
      </c>
      <c r="K57" s="47">
        <v>3.0</v>
      </c>
      <c r="L57" s="47">
        <v>0.1</v>
      </c>
      <c r="M57" s="49">
        <v>4.0</v>
      </c>
      <c r="N57" s="47">
        <v>0.2</v>
      </c>
      <c r="O57" s="47">
        <v>0.05</v>
      </c>
      <c r="P57" s="47">
        <v>102.0</v>
      </c>
      <c r="Q57" s="49">
        <v>0.7</v>
      </c>
      <c r="R57" s="47">
        <v>0.1</v>
      </c>
      <c r="S57" s="47">
        <v>0.1</v>
      </c>
      <c r="T57" s="47">
        <v>0.5</v>
      </c>
      <c r="U57" s="47">
        <v>137.0</v>
      </c>
      <c r="V57" s="47">
        <v>86.0</v>
      </c>
      <c r="W57" s="47">
        <v>88.0</v>
      </c>
      <c r="X57" s="47">
        <v>11.27</v>
      </c>
      <c r="Y57" s="47">
        <v>3.74</v>
      </c>
      <c r="Z57" s="47">
        <v>4.39</v>
      </c>
      <c r="AA57" s="47">
        <v>1.34</v>
      </c>
      <c r="AB57" s="47" t="s">
        <v>74</v>
      </c>
      <c r="AC57" s="47">
        <v>35.0</v>
      </c>
      <c r="AD57" s="47">
        <v>0.0</v>
      </c>
      <c r="AE57" s="47">
        <v>0.0</v>
      </c>
    </row>
    <row r="58" spans="1:32" customHeight="1" ht="24.75" s="13" customFormat="1">
      <c r="B58" s="47" t="s">
        <v>188</v>
      </c>
      <c r="C58" s="47">
        <v>742982.0</v>
      </c>
      <c r="D58" s="47">
        <v>9067750.0</v>
      </c>
      <c r="E58" s="47" t="s">
        <v>189</v>
      </c>
      <c r="F58" s="48" t="s">
        <v>190</v>
      </c>
      <c r="G58" s="47">
        <v>802.0</v>
      </c>
      <c r="H58" s="47">
        <v>7.36</v>
      </c>
      <c r="I58" s="47">
        <v>404.0</v>
      </c>
      <c r="J58" s="47">
        <v>23.5</v>
      </c>
      <c r="K58" s="47">
        <v>1.0</v>
      </c>
      <c r="L58" s="47">
        <v>0.5</v>
      </c>
      <c r="M58" s="47">
        <v>2.0</v>
      </c>
      <c r="N58" s="47">
        <v>0.2</v>
      </c>
      <c r="O58" s="47">
        <v>0.03</v>
      </c>
      <c r="P58" s="47">
        <v>93.0</v>
      </c>
      <c r="Q58" s="49">
        <v>0.8</v>
      </c>
      <c r="R58" s="47">
        <v>0.1</v>
      </c>
      <c r="S58" s="47">
        <v>0.1</v>
      </c>
      <c r="T58" s="47">
        <v>0.2</v>
      </c>
      <c r="U58" s="47">
        <v>79.0</v>
      </c>
      <c r="V58" s="47">
        <v>65.0</v>
      </c>
      <c r="W58" s="47">
        <v>85.0</v>
      </c>
      <c r="X58" s="47">
        <v>6.5</v>
      </c>
      <c r="Y58" s="47">
        <v>2.83</v>
      </c>
      <c r="Z58" s="47">
        <v>4.24</v>
      </c>
      <c r="AA58" s="47">
        <v>1.22</v>
      </c>
      <c r="AB58" s="47" t="s">
        <v>74</v>
      </c>
      <c r="AC58" s="47">
        <v>20.0</v>
      </c>
      <c r="AD58" s="47">
        <v>0.0</v>
      </c>
      <c r="AE58" s="47">
        <v>0.0</v>
      </c>
    </row>
    <row r="59" spans="1:32" customHeight="1" ht="24.6" s="13" customFormat="1">
      <c r="B59" s="47" t="s">
        <v>191</v>
      </c>
      <c r="C59" s="47">
        <v>743554.0</v>
      </c>
      <c r="D59" s="47">
        <v>9066150.0</v>
      </c>
      <c r="E59" s="47" t="s">
        <v>192</v>
      </c>
      <c r="F59" s="48" t="s">
        <v>193</v>
      </c>
      <c r="G59" s="47">
        <v>934.0</v>
      </c>
      <c r="H59" s="47">
        <v>7.44</v>
      </c>
      <c r="I59" s="47">
        <v>484.0</v>
      </c>
      <c r="J59" s="47">
        <v>22.4</v>
      </c>
      <c r="K59" s="47">
        <v>1.0</v>
      </c>
      <c r="L59" s="47">
        <v>0.1</v>
      </c>
      <c r="M59" s="47">
        <v>2.0</v>
      </c>
      <c r="N59" s="47">
        <v>0.8</v>
      </c>
      <c r="O59" s="47">
        <v>0.03</v>
      </c>
      <c r="P59" s="47">
        <v>102.0</v>
      </c>
      <c r="Q59" s="49">
        <v>0.7</v>
      </c>
      <c r="R59" s="47">
        <v>0.1</v>
      </c>
      <c r="S59" s="47">
        <v>0.1</v>
      </c>
      <c r="T59" s="47">
        <v>0.6</v>
      </c>
      <c r="U59" s="47">
        <v>75.0</v>
      </c>
      <c r="V59" s="47">
        <v>90.0</v>
      </c>
      <c r="W59" s="47">
        <v>36.0</v>
      </c>
      <c r="X59" s="47">
        <v>6.17</v>
      </c>
      <c r="Y59" s="47">
        <v>3.91</v>
      </c>
      <c r="Z59" s="47">
        <v>1.8</v>
      </c>
      <c r="AA59" s="47">
        <v>1.96</v>
      </c>
      <c r="AB59" s="47" t="s">
        <v>74</v>
      </c>
      <c r="AC59" s="47">
        <v>10.0</v>
      </c>
      <c r="AD59" s="47">
        <v>0.0</v>
      </c>
      <c r="AE59" s="47">
        <v>0.0</v>
      </c>
    </row>
    <row r="60" spans="1:32" customHeight="1" ht="24.75" s="13" customFormat="1">
      <c r="B60" s="47" t="s">
        <v>194</v>
      </c>
      <c r="C60" s="47">
        <v>745115.0</v>
      </c>
      <c r="D60" s="47">
        <v>9065730.0</v>
      </c>
      <c r="E60" s="47" t="s">
        <v>195</v>
      </c>
      <c r="F60" s="48" t="s">
        <v>196</v>
      </c>
      <c r="G60" s="47">
        <v>958.0</v>
      </c>
      <c r="H60" s="47">
        <v>7.48</v>
      </c>
      <c r="I60" s="47">
        <v>474.0</v>
      </c>
      <c r="J60" s="47">
        <v>23.9</v>
      </c>
      <c r="K60" s="47">
        <v>1.0</v>
      </c>
      <c r="L60" s="47">
        <v>0.3</v>
      </c>
      <c r="M60" s="47">
        <v>2.0</v>
      </c>
      <c r="N60" s="47">
        <v>0.1</v>
      </c>
      <c r="O60" s="47">
        <v>0.04</v>
      </c>
      <c r="P60" s="47">
        <v>97.0</v>
      </c>
      <c r="Q60" s="47">
        <v>0.1</v>
      </c>
      <c r="R60" s="47">
        <v>0.1</v>
      </c>
      <c r="S60" s="47">
        <v>0.1</v>
      </c>
      <c r="T60" s="47">
        <v>3.2</v>
      </c>
      <c r="U60" s="47">
        <v>138.0</v>
      </c>
      <c r="V60" s="49">
        <v>242.0</v>
      </c>
      <c r="W60" s="47">
        <v>158.0</v>
      </c>
      <c r="X60" s="47">
        <v>11.36</v>
      </c>
      <c r="Y60" s="47">
        <v>10.53</v>
      </c>
      <c r="Z60" s="47">
        <v>7.88</v>
      </c>
      <c r="AA60" s="47">
        <v>3.39</v>
      </c>
      <c r="AB60" s="47" t="s">
        <v>80</v>
      </c>
      <c r="AC60" s="47">
        <v>55.0</v>
      </c>
      <c r="AD60" s="47">
        <v>0.0</v>
      </c>
      <c r="AE60" s="47">
        <v>0.0</v>
      </c>
    </row>
    <row r="61" spans="1:32" customHeight="1" ht="24.75" s="13" customFormat="1">
      <c r="B61" s="47" t="s">
        <v>197</v>
      </c>
      <c r="C61" s="47">
        <v>740989.0</v>
      </c>
      <c r="D61" s="47">
        <v>9064870.0</v>
      </c>
      <c r="E61" s="47" t="s">
        <v>198</v>
      </c>
      <c r="F61" s="48" t="s">
        <v>199</v>
      </c>
      <c r="G61" s="47">
        <v>1256.0</v>
      </c>
      <c r="H61" s="47">
        <v>7.59</v>
      </c>
      <c r="I61" s="47">
        <v>656.0</v>
      </c>
      <c r="J61" s="47">
        <v>22.5</v>
      </c>
      <c r="K61" s="47">
        <v>1.0</v>
      </c>
      <c r="L61" s="47">
        <v>0.2</v>
      </c>
      <c r="M61" s="47">
        <v>3.0</v>
      </c>
      <c r="N61" s="47">
        <v>1.6</v>
      </c>
      <c r="O61" s="47">
        <v>0.04</v>
      </c>
      <c r="P61" s="47">
        <v>109.0</v>
      </c>
      <c r="Q61" s="47">
        <v>0.4</v>
      </c>
      <c r="R61" s="47">
        <v>0.1</v>
      </c>
      <c r="S61" s="47">
        <v>0.2</v>
      </c>
      <c r="T61" s="47">
        <v>1.3</v>
      </c>
      <c r="U61" s="47">
        <v>125.0</v>
      </c>
      <c r="V61" s="49">
        <v>324.0</v>
      </c>
      <c r="W61" s="47">
        <v>140.0</v>
      </c>
      <c r="X61" s="47">
        <v>10.29</v>
      </c>
      <c r="Y61" s="47">
        <v>14.09</v>
      </c>
      <c r="Z61" s="47">
        <v>6.99</v>
      </c>
      <c r="AA61" s="47">
        <v>4.8</v>
      </c>
      <c r="AB61" s="47" t="s">
        <v>80</v>
      </c>
      <c r="AC61" s="47">
        <v>5.0</v>
      </c>
      <c r="AD61" s="47">
        <v>0.0</v>
      </c>
      <c r="AE61" s="47">
        <v>0.0</v>
      </c>
    </row>
    <row r="62" spans="1:32" customHeight="1" ht="24.75" s="13" customFormat="1">
      <c r="B62" s="47" t="s">
        <v>200</v>
      </c>
      <c r="C62" s="47">
        <v>740149.0</v>
      </c>
      <c r="D62" s="47">
        <v>9065560.0</v>
      </c>
      <c r="E62" s="47" t="s">
        <v>201</v>
      </c>
      <c r="F62" s="48" t="s">
        <v>202</v>
      </c>
      <c r="G62" s="47">
        <v>1403.0</v>
      </c>
      <c r="H62" s="47">
        <v>7.58</v>
      </c>
      <c r="I62" s="47">
        <v>748.0</v>
      </c>
      <c r="J62" s="47">
        <v>21.5</v>
      </c>
      <c r="K62" s="49">
        <v>10.0</v>
      </c>
      <c r="L62" s="47">
        <v>0.8</v>
      </c>
      <c r="M62" s="49">
        <v>6.0</v>
      </c>
      <c r="N62" s="47">
        <v>0.9</v>
      </c>
      <c r="O62" s="49">
        <v>0.11</v>
      </c>
      <c r="P62" s="47">
        <v>108.0</v>
      </c>
      <c r="Q62" s="47">
        <v>0.1</v>
      </c>
      <c r="R62" s="47">
        <v>0.0</v>
      </c>
      <c r="S62" s="47">
        <v>0.1</v>
      </c>
      <c r="T62" s="47">
        <v>2.1</v>
      </c>
      <c r="U62" s="47">
        <v>85.0</v>
      </c>
      <c r="V62" s="49">
        <v>499.0</v>
      </c>
      <c r="W62" s="47">
        <v>30.0</v>
      </c>
      <c r="X62" s="47">
        <v>6.99</v>
      </c>
      <c r="Y62" s="47">
        <v>21.71</v>
      </c>
      <c r="Z62" s="47">
        <v>1.5</v>
      </c>
      <c r="AA62" s="47">
        <v>10.53</v>
      </c>
      <c r="AB62" s="47" t="s">
        <v>54</v>
      </c>
      <c r="AC62" s="47">
        <v>10.0</v>
      </c>
      <c r="AD62" s="47">
        <v>0.0</v>
      </c>
      <c r="AE62" s="47">
        <v>0.0</v>
      </c>
    </row>
    <row r="63" spans="1:32" customHeight="1" ht="24.75" s="13" customFormat="1">
      <c r="B63" s="47" t="s">
        <v>203</v>
      </c>
      <c r="C63" s="47">
        <v>739702.0</v>
      </c>
      <c r="D63" s="47">
        <v>9064320.0</v>
      </c>
      <c r="E63" s="47" t="s">
        <v>204</v>
      </c>
      <c r="F63" s="48" t="s">
        <v>205</v>
      </c>
      <c r="G63" s="47">
        <v>1375.0</v>
      </c>
      <c r="H63" s="47">
        <v>8.21</v>
      </c>
      <c r="I63" s="47">
        <v>757.0</v>
      </c>
      <c r="J63" s="47">
        <v>20.3</v>
      </c>
      <c r="K63" s="47">
        <v>2.0</v>
      </c>
      <c r="L63" s="47">
        <v>1.2</v>
      </c>
      <c r="M63" s="49">
        <v>5.0</v>
      </c>
      <c r="N63" s="47">
        <v>0.4</v>
      </c>
      <c r="O63" s="47">
        <v>0.03</v>
      </c>
      <c r="P63" s="47">
        <v>131.0</v>
      </c>
      <c r="Q63" s="47">
        <v>0.3</v>
      </c>
      <c r="R63" s="47">
        <v>0.0</v>
      </c>
      <c r="S63" s="47">
        <v>0.1</v>
      </c>
      <c r="T63" s="47">
        <v>3.0</v>
      </c>
      <c r="U63" s="47">
        <v>593.0</v>
      </c>
      <c r="V63" s="49">
        <v>1608.0</v>
      </c>
      <c r="W63" s="47">
        <v>1229.0</v>
      </c>
      <c r="X63" s="47">
        <v>48.8</v>
      </c>
      <c r="Y63" s="47">
        <v>69.95</v>
      </c>
      <c r="Z63" s="47">
        <v>61.33</v>
      </c>
      <c r="AA63" s="47">
        <v>9.43</v>
      </c>
      <c r="AB63" s="47" t="s">
        <v>54</v>
      </c>
      <c r="AC63" s="47">
        <v>30.0</v>
      </c>
      <c r="AD63" s="47">
        <v>0.0</v>
      </c>
      <c r="AE63" s="47">
        <v>0.0</v>
      </c>
    </row>
    <row r="64" spans="1:32" customHeight="1" ht="24.75" s="13" customFormat="1">
      <c r="B64" s="47" t="s">
        <v>206</v>
      </c>
      <c r="C64" s="47">
        <v>737836.0</v>
      </c>
      <c r="D64" s="47">
        <v>9063250.0</v>
      </c>
      <c r="E64" s="47" t="s">
        <v>207</v>
      </c>
      <c r="F64" s="48" t="s">
        <v>208</v>
      </c>
      <c r="G64" s="49">
        <v>4730.0</v>
      </c>
      <c r="H64" s="47">
        <v>7.24</v>
      </c>
      <c r="I64" s="49">
        <v>2560.0</v>
      </c>
      <c r="J64" s="47">
        <v>23.3</v>
      </c>
      <c r="K64" s="47">
        <v>1.0</v>
      </c>
      <c r="L64" s="47">
        <v>0.5</v>
      </c>
      <c r="M64" s="49">
        <v>27.0</v>
      </c>
      <c r="N64" s="49">
        <v>6.0</v>
      </c>
      <c r="O64" s="49">
        <v>0.07</v>
      </c>
      <c r="P64" s="47">
        <v>125.0</v>
      </c>
      <c r="Q64" s="47">
        <v>0.4</v>
      </c>
      <c r="R64" s="47">
        <v>0.1</v>
      </c>
      <c r="S64" s="47">
        <v>0.2</v>
      </c>
      <c r="T64" s="47">
        <v>47.0</v>
      </c>
      <c r="U64" s="47">
        <v>220.0</v>
      </c>
      <c r="V64" s="49">
        <v>1097.0</v>
      </c>
      <c r="W64" s="47">
        <v>175.0</v>
      </c>
      <c r="X64" s="47">
        <v>18.1</v>
      </c>
      <c r="Y64" s="47">
        <v>47.72</v>
      </c>
      <c r="Z64" s="47">
        <v>8.73</v>
      </c>
      <c r="AA64" s="47">
        <v>13.03</v>
      </c>
      <c r="AB64" s="47" t="s">
        <v>54</v>
      </c>
      <c r="AC64" s="47">
        <v>190.0</v>
      </c>
      <c r="AD64" s="47">
        <v>0.0</v>
      </c>
      <c r="AE64" s="47">
        <v>0.0</v>
      </c>
    </row>
    <row r="65" spans="1:32" customHeight="1" ht="24.75" s="14" customFormat="1">
      <c r="B65" s="43" t="s">
        <v>209</v>
      </c>
      <c r="C65" s="43">
        <v>738781.0</v>
      </c>
      <c r="D65" s="43">
        <v>9062120.0</v>
      </c>
      <c r="E65" s="43" t="s">
        <v>210</v>
      </c>
      <c r="F65" s="44" t="s">
        <v>211</v>
      </c>
      <c r="G65" s="45">
        <v>3660.0</v>
      </c>
      <c r="H65" s="43">
        <v>7.44</v>
      </c>
      <c r="I65" s="45">
        <v>2010.0</v>
      </c>
      <c r="J65" s="43">
        <v>22.0</v>
      </c>
      <c r="K65" s="43">
        <v>1.0</v>
      </c>
      <c r="L65" s="43">
        <v>0.3</v>
      </c>
      <c r="M65" s="45">
        <v>14.0</v>
      </c>
      <c r="N65" s="45">
        <v>3.7</v>
      </c>
      <c r="O65" s="43">
        <v>0.04</v>
      </c>
      <c r="P65" s="43">
        <v>114.0</v>
      </c>
      <c r="Q65" s="43">
        <v>0.1</v>
      </c>
      <c r="R65" s="43">
        <v>0.3</v>
      </c>
      <c r="S65" s="43">
        <v>0.2</v>
      </c>
      <c r="T65" s="43">
        <v>50.0</v>
      </c>
      <c r="U65" s="43">
        <v>207.0</v>
      </c>
      <c r="V65" s="45">
        <v>1070.0</v>
      </c>
      <c r="W65" s="43">
        <v>164.0</v>
      </c>
      <c r="X65" s="43">
        <v>17.03</v>
      </c>
      <c r="Y65" s="43">
        <v>46.54</v>
      </c>
      <c r="Z65" s="43">
        <v>8.18</v>
      </c>
      <c r="AA65" s="43">
        <v>13.11</v>
      </c>
      <c r="AB65" s="43" t="s">
        <v>54</v>
      </c>
      <c r="AC65" s="46" t="s">
        <v>53</v>
      </c>
      <c r="AD65" s="46" t="s">
        <v>53</v>
      </c>
      <c r="AE65" s="46" t="s">
        <v>53</v>
      </c>
    </row>
    <row r="66" spans="1:32" customHeight="1" ht="24.75" s="14" customFormat="1">
      <c r="B66" s="43" t="s">
        <v>212</v>
      </c>
      <c r="C66" s="43">
        <v>738106.0</v>
      </c>
      <c r="D66" s="43">
        <v>9060930.0</v>
      </c>
      <c r="E66" s="43" t="s">
        <v>213</v>
      </c>
      <c r="F66" s="44" t="s">
        <v>214</v>
      </c>
      <c r="G66" s="45">
        <v>3040.0</v>
      </c>
      <c r="H66" s="43">
        <v>7.38</v>
      </c>
      <c r="I66" s="45">
        <v>1612.0</v>
      </c>
      <c r="J66" s="43">
        <v>23.8</v>
      </c>
      <c r="K66" s="45">
        <v>7.0</v>
      </c>
      <c r="L66" s="43">
        <v>0.9</v>
      </c>
      <c r="M66" s="45">
        <v>7.0</v>
      </c>
      <c r="N66" s="43">
        <v>2.0</v>
      </c>
      <c r="O66" s="43">
        <v>0.05</v>
      </c>
      <c r="P66" s="43">
        <v>113.0</v>
      </c>
      <c r="Q66" s="43">
        <v>0.1</v>
      </c>
      <c r="R66" s="43">
        <v>0.3</v>
      </c>
      <c r="S66" s="43">
        <v>0.2</v>
      </c>
      <c r="T66" s="43">
        <v>2.2</v>
      </c>
      <c r="U66" s="43">
        <v>126.0</v>
      </c>
      <c r="V66" s="45">
        <v>1025.0</v>
      </c>
      <c r="W66" s="43">
        <v>112.0</v>
      </c>
      <c r="X66" s="43">
        <v>10.37</v>
      </c>
      <c r="Y66" s="43">
        <v>44.59</v>
      </c>
      <c r="Z66" s="43">
        <v>5.59</v>
      </c>
      <c r="AA66" s="43">
        <v>15.78</v>
      </c>
      <c r="AB66" s="43" t="s">
        <v>54</v>
      </c>
      <c r="AC66" s="46" t="s">
        <v>53</v>
      </c>
      <c r="AD66" s="46" t="s">
        <v>53</v>
      </c>
      <c r="AE66" s="46" t="s">
        <v>53</v>
      </c>
    </row>
    <row r="67" spans="1:32" customHeight="1" ht="24.75" s="14" customFormat="1">
      <c r="B67" s="43" t="s">
        <v>215</v>
      </c>
      <c r="C67" s="43">
        <v>739449.0</v>
      </c>
      <c r="D67" s="43">
        <v>9059690.0</v>
      </c>
      <c r="E67" s="43" t="s">
        <v>216</v>
      </c>
      <c r="F67" s="44" t="s">
        <v>217</v>
      </c>
      <c r="G67" s="45">
        <v>2690.0</v>
      </c>
      <c r="H67" s="43">
        <v>7.8</v>
      </c>
      <c r="I67" s="45">
        <v>1399.0</v>
      </c>
      <c r="J67" s="43">
        <v>24.2</v>
      </c>
      <c r="K67" s="45">
        <v>7.0</v>
      </c>
      <c r="L67" s="43">
        <v>0.8</v>
      </c>
      <c r="M67" s="43">
        <v>3.0</v>
      </c>
      <c r="N67" s="43">
        <v>0.1</v>
      </c>
      <c r="O67" s="43">
        <v>0.04</v>
      </c>
      <c r="P67" s="43">
        <v>118.0</v>
      </c>
      <c r="Q67" s="43">
        <v>0.1</v>
      </c>
      <c r="R67" s="43">
        <v>0.1</v>
      </c>
      <c r="S67" s="43">
        <v>0.23</v>
      </c>
      <c r="T67" s="43">
        <v>2.4</v>
      </c>
      <c r="U67" s="43">
        <v>45.0</v>
      </c>
      <c r="V67" s="45">
        <v>1199.0</v>
      </c>
      <c r="W67" s="43">
        <v>12.0</v>
      </c>
      <c r="X67" s="43">
        <v>3.7</v>
      </c>
      <c r="Y67" s="43">
        <v>52.16</v>
      </c>
      <c r="Z67" s="43">
        <v>0.6</v>
      </c>
      <c r="AA67" s="43">
        <v>35.56</v>
      </c>
      <c r="AB67" s="43" t="s">
        <v>54</v>
      </c>
      <c r="AC67" s="46" t="s">
        <v>53</v>
      </c>
      <c r="AD67" s="46" t="s">
        <v>53</v>
      </c>
      <c r="AE67" s="46" t="s">
        <v>53</v>
      </c>
    </row>
    <row r="68" spans="1:32" customHeight="1" ht="24.75" s="13" customFormat="1">
      <c r="B68" s="47" t="s">
        <v>218</v>
      </c>
      <c r="C68" s="47">
        <v>737690.0</v>
      </c>
      <c r="D68" s="47">
        <v>9059210.0</v>
      </c>
      <c r="E68" s="47" t="s">
        <v>219</v>
      </c>
      <c r="F68" s="48" t="s">
        <v>220</v>
      </c>
      <c r="G68" s="49">
        <v>3080.0</v>
      </c>
      <c r="H68" s="47">
        <v>7.77</v>
      </c>
      <c r="I68" s="49">
        <v>1615.0</v>
      </c>
      <c r="J68" s="47">
        <v>23.9</v>
      </c>
      <c r="K68" s="47">
        <v>4.0</v>
      </c>
      <c r="L68" s="47">
        <v>0.7</v>
      </c>
      <c r="M68" s="49">
        <v>19.0</v>
      </c>
      <c r="N68" s="47">
        <v>0.1</v>
      </c>
      <c r="O68" s="49">
        <v>0.06</v>
      </c>
      <c r="P68" s="47">
        <v>118.0</v>
      </c>
      <c r="Q68" s="47">
        <v>0.1</v>
      </c>
      <c r="R68" s="47">
        <v>0.1</v>
      </c>
      <c r="S68" s="47">
        <v>0.1</v>
      </c>
      <c r="T68" s="47">
        <v>24.0</v>
      </c>
      <c r="U68" s="47">
        <v>65.0</v>
      </c>
      <c r="V68" s="49">
        <v>1302.0</v>
      </c>
      <c r="W68" s="47">
        <v>22.0</v>
      </c>
      <c r="X68" s="47">
        <v>5.35</v>
      </c>
      <c r="Y68" s="47">
        <v>56.64</v>
      </c>
      <c r="Z68" s="47">
        <v>1.1</v>
      </c>
      <c r="AA68" s="47">
        <v>31.55</v>
      </c>
      <c r="AB68" s="47" t="s">
        <v>54</v>
      </c>
      <c r="AC68" s="47">
        <v>120.0</v>
      </c>
      <c r="AD68" s="47">
        <v>0.0</v>
      </c>
      <c r="AE68" s="47">
        <v>0.0</v>
      </c>
    </row>
    <row r="69" spans="1:32" customHeight="1" ht="24.75" s="14" customFormat="1">
      <c r="B69" s="43" t="s">
        <v>221</v>
      </c>
      <c r="C69" s="43">
        <v>737103.0</v>
      </c>
      <c r="D69" s="43">
        <v>9061610.0</v>
      </c>
      <c r="E69" s="43" t="s">
        <v>222</v>
      </c>
      <c r="F69" s="44" t="s">
        <v>223</v>
      </c>
      <c r="G69" s="45">
        <v>3040.0</v>
      </c>
      <c r="H69" s="43">
        <v>7.36</v>
      </c>
      <c r="I69" s="45">
        <v>1601.0</v>
      </c>
      <c r="J69" s="43">
        <v>23.7</v>
      </c>
      <c r="K69" s="45">
        <v>21.0</v>
      </c>
      <c r="L69" s="43">
        <v>0.1</v>
      </c>
      <c r="M69" s="45">
        <v>7.0</v>
      </c>
      <c r="N69" s="45">
        <v>3.5</v>
      </c>
      <c r="O69" s="43">
        <v>0.04</v>
      </c>
      <c r="P69" s="43">
        <v>112.0</v>
      </c>
      <c r="Q69" s="43">
        <v>0.1</v>
      </c>
      <c r="R69" s="43">
        <v>0.1</v>
      </c>
      <c r="S69" s="43">
        <v>0.3</v>
      </c>
      <c r="T69" s="43">
        <v>1.8</v>
      </c>
      <c r="U69" s="43">
        <v>192.0</v>
      </c>
      <c r="V69" s="45">
        <v>801.0</v>
      </c>
      <c r="W69" s="43">
        <v>282.0</v>
      </c>
      <c r="X69" s="43">
        <v>15.8</v>
      </c>
      <c r="Y69" s="43">
        <v>34.84</v>
      </c>
      <c r="Z69" s="43">
        <v>14.07</v>
      </c>
      <c r="AA69" s="43">
        <v>9.02</v>
      </c>
      <c r="AB69" s="43" t="s">
        <v>54</v>
      </c>
      <c r="AC69" s="46" t="s">
        <v>53</v>
      </c>
      <c r="AD69" s="46" t="s">
        <v>53</v>
      </c>
      <c r="AE69" s="46" t="s">
        <v>53</v>
      </c>
    </row>
    <row r="70" spans="1:32" customHeight="1" ht="24.75" s="13" customFormat="1">
      <c r="B70" s="47" t="s">
        <v>224</v>
      </c>
      <c r="C70" s="47">
        <v>735524.0</v>
      </c>
      <c r="D70" s="47">
        <v>9060450.0</v>
      </c>
      <c r="E70" s="47" t="s">
        <v>225</v>
      </c>
      <c r="F70" s="48" t="s">
        <v>226</v>
      </c>
      <c r="G70" s="49">
        <v>3480.0</v>
      </c>
      <c r="H70" s="47">
        <v>7.35</v>
      </c>
      <c r="I70" s="49">
        <v>1904.0</v>
      </c>
      <c r="J70" s="47">
        <v>22.2</v>
      </c>
      <c r="K70" s="47">
        <v>2.0</v>
      </c>
      <c r="L70" s="47">
        <v>0.6</v>
      </c>
      <c r="M70" s="49">
        <v>24.0</v>
      </c>
      <c r="N70" s="49">
        <v>3.2</v>
      </c>
      <c r="O70" s="47">
        <v>0.05</v>
      </c>
      <c r="P70" s="47">
        <v>118.0</v>
      </c>
      <c r="Q70" s="47">
        <v>0.1</v>
      </c>
      <c r="R70" s="47">
        <v>0.2</v>
      </c>
      <c r="S70" s="47">
        <v>0.2</v>
      </c>
      <c r="T70" s="47">
        <v>3.45</v>
      </c>
      <c r="U70" s="47">
        <v>181.0</v>
      </c>
      <c r="V70" s="49">
        <v>1243.0</v>
      </c>
      <c r="W70" s="47">
        <v>173.0</v>
      </c>
      <c r="X70" s="47">
        <v>14.89</v>
      </c>
      <c r="Y70" s="47">
        <v>54.07</v>
      </c>
      <c r="Z70" s="47">
        <v>8.63</v>
      </c>
      <c r="AA70" s="47">
        <v>15.76</v>
      </c>
      <c r="AB70" s="47" t="s">
        <v>54</v>
      </c>
      <c r="AC70" s="47">
        <v>90.0</v>
      </c>
      <c r="AD70" s="47">
        <v>0.0</v>
      </c>
      <c r="AE70" s="47">
        <v>0.0</v>
      </c>
    </row>
    <row r="71" spans="1:32">
      <c r="B71" s="27" t="inlineStr">
        <is>
          <r>
            <t xml:space="preserve">*No se realiza metodo microbiológico requerido para aguas catergia 3 - ECAS. Metodo utilizado para agua subterránea -  Siembra en placa.</t>
          </r>
        </is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5"/>
      <c r="R71" s="11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</row>
    <row r="72" spans="1:32" customHeight="1" ht="24.75">
      <c r="B72" s="21" t="inlineStr">
        <is>
          <r>
            <t xml:space="preserve">+ No se realizó análisis. Pozo inaccesible</t>
          </r>
        </is>
      </c>
      <c r="N72" s="8">
        <v>0</v>
      </c>
      <c r="O72" s="15">
        <v>0</v>
      </c>
      <c r="P72" s="21">
        <v>0</v>
      </c>
      <c r="Q72" s="21">
        <v>0</v>
      </c>
      <c r="R72" s="21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</row>
    <row r="73" spans="1:32" customHeight="1" ht="15.75">
      <c r="B73" s="29">
        <v>0</v>
      </c>
      <c r="C73" s="21">
        <v>0</v>
      </c>
      <c r="D73" s="21">
        <v>0</v>
      </c>
      <c r="E73" s="21">
        <v>0</v>
      </c>
      <c r="F73" s="21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10">
        <v>0</v>
      </c>
      <c r="O73" s="16">
        <v>0</v>
      </c>
      <c r="P73" s="9">
        <v>0</v>
      </c>
      <c r="Q73" s="9">
        <v>0</v>
      </c>
      <c r="R73" s="9">
        <v>0</v>
      </c>
      <c r="S73" s="17">
        <v>0</v>
      </c>
      <c r="T73" s="17">
        <v>0</v>
      </c>
      <c r="U73" s="17">
        <v>0</v>
      </c>
      <c r="V73" s="17">
        <v>0</v>
      </c>
      <c r="W73" s="17">
        <v>0</v>
      </c>
      <c r="X73" s="17">
        <v>0</v>
      </c>
      <c r="Y73" s="17">
        <v>0</v>
      </c>
      <c r="Z73" s="17">
        <v>0</v>
      </c>
      <c r="AA73" s="17">
        <v>0</v>
      </c>
      <c r="AB73" s="17">
        <v>0</v>
      </c>
      <c r="AC73" s="16">
        <v>37</v>
      </c>
      <c r="AD73" s="16">
        <v>23</v>
      </c>
      <c r="AE73" s="16">
        <v>22</v>
      </c>
    </row>
    <row r="74" spans="1:32">
      <c r="B74" s="22">
        <v>0</v>
      </c>
      <c r="C74" s="22">
        <v>0</v>
      </c>
      <c r="D74" s="22">
        <v>0</v>
      </c>
      <c r="E74" s="22">
        <v>0</v>
      </c>
      <c r="F74" s="22">
        <v>0</v>
      </c>
      <c r="G74" s="23" t="str">
        <f>(G73*100)/39</f>
        <v>=(G73*100)/39</v>
      </c>
      <c r="H74" s="23" t="str">
        <f>(H73*100)/39</f>
        <v>=(H73*100)/39</v>
      </c>
      <c r="I74" s="23" t="str">
        <f>(I73*100)/39</f>
        <v>=(I73*100)/39</v>
      </c>
      <c r="J74" s="23" t="str">
        <f>(J73*100)/39</f>
        <v>=(J73*100)/39</v>
      </c>
      <c r="K74" s="23" t="str">
        <f>(K73*100)/39</f>
        <v>=(K73*100)/39</v>
      </c>
      <c r="L74" s="23" t="str">
        <f>(L73*100)/39</f>
        <v>=(L73*100)/39</v>
      </c>
      <c r="M74" s="23" t="str">
        <f>(M73*100)/39</f>
        <v>=(M73*100)/39</v>
      </c>
      <c r="N74" s="23" t="str">
        <f>(N73*100)/39</f>
        <v>=(N73*100)/39</v>
      </c>
      <c r="O74" s="23" t="str">
        <f>(O73*100)/39</f>
        <v>=(O73*100)/39</v>
      </c>
      <c r="P74" s="23" t="str">
        <f>(P73*100)/39</f>
        <v>=(P73*100)/39</v>
      </c>
      <c r="Q74" s="23" t="str">
        <f>(Q73*100)/39</f>
        <v>=(Q73*100)/39</v>
      </c>
      <c r="R74" s="23" t="str">
        <f>(R73*100)/39</f>
        <v>=(R73*100)/39</v>
      </c>
      <c r="S74" s="23" t="str">
        <f>(S73*100)/39</f>
        <v>=(S73*100)/39</v>
      </c>
      <c r="T74" s="23" t="str">
        <f>(T73*100)/39</f>
        <v>=(T73*100)/39</v>
      </c>
      <c r="U74" s="23" t="str">
        <f>(U73*100)/39</f>
        <v>=(U73*100)/39</v>
      </c>
      <c r="V74" s="23" t="str">
        <f>(V73*100)/39</f>
        <v>=(V73*100)/39</v>
      </c>
      <c r="W74" s="23" t="str">
        <f>(W73*100)/39</f>
        <v>=(W73*100)/39</v>
      </c>
      <c r="X74" s="23" t="str">
        <f>(X73*100)/39</f>
        <v>=(X73*100)/39</v>
      </c>
      <c r="Y74" s="23" t="str">
        <f>(Y73*100)/39</f>
        <v>=(Y73*100)/39</v>
      </c>
      <c r="Z74" s="23" t="str">
        <f>(Z73*100)/39</f>
        <v>=(Z73*100)/39</v>
      </c>
      <c r="AA74" s="23" t="str">
        <f>(AA73*100)/39</f>
        <v>=(AA73*100)/39</v>
      </c>
      <c r="AB74" s="23" t="str">
        <f>(AB73*100)/39</f>
        <v>=(AB73*100)/39</v>
      </c>
      <c r="AC74" s="23" t="str">
        <f>(AC73*100)/37</f>
        <v>=(AC73*100)/37</v>
      </c>
      <c r="AD74" s="23" t="str">
        <f>(AD73*100)/37</f>
        <v>=(AD73*100)/37</v>
      </c>
      <c r="AE74" s="23" t="str">
        <f>(AE73*100)/37</f>
        <v>=(AE73*100)/37</v>
      </c>
    </row>
    <row r="75" spans="1:32">
      <c r="B75" s="22">
        <v>0</v>
      </c>
      <c r="C75" s="22">
        <v>0</v>
      </c>
      <c r="D75" s="22" t="inlineStr">
        <is>
          <r>
            <t xml:space="preserve">RIEGO DE VEGETALES</t>
          </r>
        </is>
      </c>
      <c r="G75" s="23" t="inlineStr">
        <is>
          <r>
            <t xml:space="preserve">&gt;15</t>
          </r>
        </is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 t="inlineStr">
        <is>
          <r>
            <t xml:space="preserve">&gt;41</t>
          </r>
        </is>
      </c>
      <c r="O75" s="23" t="inlineStr">
        <is>
          <r>
            <t xml:space="preserve">&lt;58&gt;</t>
          </r>
        </is>
      </c>
      <c r="P75" s="23">
        <v>0</v>
      </c>
      <c r="Q75" s="23" t="inlineStr">
        <is>
          <r>
            <t xml:space="preserve">&lt;14&gt;</t>
          </r>
        </is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</row>
    <row r="76" spans="1:32">
      <c r="B76" s="22">
        <v>0</v>
      </c>
      <c r="C76" s="22">
        <v>0</v>
      </c>
      <c r="D76" s="22" t="inlineStr">
        <is>
          <r>
            <t xml:space="preserve">CONSUMO DE ANIMALES</t>
          </r>
        </is>
      </c>
      <c r="G76" s="23" t="inlineStr">
        <is>
          <r>
            <t xml:space="preserve">&gt;1</t>
          </r>
        </is>
      </c>
      <c r="H76" s="23">
        <v>0</v>
      </c>
      <c r="I76" s="23">
        <v>0</v>
      </c>
      <c r="J76" s="23">
        <v>0</v>
      </c>
      <c r="K76" s="23">
        <v>0</v>
      </c>
      <c r="L76" s="23">
        <v>0</v>
      </c>
      <c r="N76" s="23" t="inlineStr">
        <is>
          <r>
            <t xml:space="preserve">&gt;34</t>
          </r>
        </is>
      </c>
      <c r="P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23">
        <v>0</v>
      </c>
    </row>
    <row r="77" spans="1:32">
      <c r="B77" s="22">
        <v>0</v>
      </c>
      <c r="C77" s="22">
        <v>0</v>
      </c>
      <c r="D77" s="22" t="inlineStr">
        <is>
          <r>
            <t xml:space="preserve">HUMANO</t>
          </r>
        </is>
      </c>
      <c r="G77" s="23" t="inlineStr">
        <is>
          <r>
            <t xml:space="preserve">&gt;14</t>
          </r>
        </is>
      </c>
      <c r="H77" s="23">
        <v>0</v>
      </c>
      <c r="I77" s="23" t="inlineStr">
        <is>
          <r>
            <t xml:space="preserve">&gt;16</t>
          </r>
        </is>
      </c>
      <c r="J77" s="23">
        <v>0</v>
      </c>
      <c r="K77" s="23">
        <v>0</v>
      </c>
      <c r="L77" s="23">
        <v>0</v>
      </c>
      <c r="M77" s="23" t="inlineStr">
        <is>
          <r>
            <t xml:space="preserve">&gt;16</t>
          </r>
        </is>
      </c>
      <c r="N77" s="23" t="inlineStr">
        <is>
          <r>
            <t xml:space="preserve">&gt;12</t>
          </r>
        </is>
      </c>
      <c r="O77" s="23" t="inlineStr">
        <is>
          <r>
            <t xml:space="preserve">&lt;23&gt;</t>
          </r>
        </is>
      </c>
      <c r="P77" s="23">
        <v>0</v>
      </c>
      <c r="Q77" s="23" t="inlineStr">
        <is>
          <r>
            <t xml:space="preserve">&lt;16&gt;</t>
          </r>
        </is>
      </c>
      <c r="R77" s="23">
        <v>0</v>
      </c>
      <c r="S77" s="23" t="inlineStr">
        <is>
          <r>
            <t xml:space="preserve">&gt;4</t>
          </r>
        </is>
      </c>
      <c r="T77" s="23">
        <v>0</v>
      </c>
      <c r="U77" s="23">
        <v>0</v>
      </c>
      <c r="V77" s="23" t="inlineStr">
        <is>
          <r>
            <t xml:space="preserve">&gt;12</t>
          </r>
        </is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</row>
    <row r="78" spans="1:32">
      <c r="B78" s="7">
        <v>0</v>
      </c>
      <c r="C78" s="22">
        <v>0</v>
      </c>
      <c r="E78" s="22" t="inlineStr">
        <is>
          <r>
            <t xml:space="preserve">MAX</t>
          </r>
        </is>
      </c>
      <c r="F78" s="22">
        <v>0</v>
      </c>
      <c r="G78" s="30" t="str">
        <f>MAX(G11:G70)</f>
        <v>=MAX(G11:G70)</v>
      </c>
      <c r="H78" s="31" t="str">
        <f>MAX(H11:H70)</f>
        <v>=MAX(H11:H70)</v>
      </c>
      <c r="I78" s="30" t="str">
        <f>MAX(I11:I70)</f>
        <v>=MAX(I11:I70)</v>
      </c>
      <c r="J78" s="32" t="str">
        <f>MAX(J11:J70)</f>
        <v>=MAX(J11:J70)</v>
      </c>
      <c r="K78" s="30" t="str">
        <f>MAX(K11:K70)</f>
        <v>=MAX(K11:K70)</v>
      </c>
      <c r="L78" s="30" t="str">
        <f>MAX(L11:L70)</f>
        <v>=MAX(L11:L70)</v>
      </c>
      <c r="M78" s="30" t="str">
        <f>MAX(M11:M70)</f>
        <v>=MAX(M11:M70)</v>
      </c>
      <c r="N78" s="32" t="str">
        <f>MAX(N11:N70)</f>
        <v>=MAX(N11:N70)</v>
      </c>
      <c r="O78" s="32" t="str">
        <f>MAX(O11:O70)</f>
        <v>=MAX(O11:O70)</v>
      </c>
      <c r="P78" s="30" t="str">
        <f>MAX(P11:P70)</f>
        <v>=MAX(P11:P70)</v>
      </c>
      <c r="Q78" s="32" t="str">
        <f>MAX(Q11:Q70)</f>
        <v>=MAX(Q11:Q70)</v>
      </c>
      <c r="R78" s="32" t="str">
        <f>MAX(R11:R70)</f>
        <v>=MAX(R11:R70)</v>
      </c>
      <c r="S78" s="31" t="str">
        <f>MAX(S11:S70)</f>
        <v>=MAX(S11:S70)</v>
      </c>
      <c r="T78" s="31" t="str">
        <f>MAX(T11:T70)</f>
        <v>=MAX(T11:T70)</v>
      </c>
      <c r="U78" s="30" t="str">
        <f>MAX(U11:U70)</f>
        <v>=MAX(U11:U70)</v>
      </c>
      <c r="V78" s="30" t="str">
        <f>MAX(V11:V70)</f>
        <v>=MAX(V11:V70)</v>
      </c>
      <c r="W78" s="30" t="str">
        <f>MAX(W11:W70)</f>
        <v>=MAX(W11:W70)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 t="str">
        <f>MAX(AC11:AC70)</f>
        <v>=MAX(AC11:AC70)</v>
      </c>
      <c r="AD78" s="30" t="str">
        <f>MAX(AD11:AD70)</f>
        <v>=MAX(AD11:AD70)</v>
      </c>
      <c r="AE78" s="30" t="str">
        <f>MAX(AE11:AE70)</f>
        <v>=MAX(AE11:AE70)</v>
      </c>
    </row>
    <row r="79" spans="1:32">
      <c r="B79" s="7">
        <v>0</v>
      </c>
      <c r="C79" s="22">
        <v>0</v>
      </c>
      <c r="E79" s="22" t="inlineStr">
        <is>
          <r>
            <t xml:space="preserve">MIN</t>
          </r>
        </is>
      </c>
      <c r="F79" s="22">
        <v>0</v>
      </c>
      <c r="G79" s="33" t="str">
        <f>MIN(G11:G70)</f>
        <v>=MIN(G11:G70)</v>
      </c>
      <c r="H79" s="34" t="str">
        <f>MIN(H11:H70)</f>
        <v>=MIN(H11:H70)</v>
      </c>
      <c r="I79" s="33" t="str">
        <f>MIN(I11:I70)</f>
        <v>=MIN(I11:I70)</v>
      </c>
      <c r="J79" s="35" t="str">
        <f>MIN(J11:J70)</f>
        <v>=MIN(J11:J70)</v>
      </c>
      <c r="K79" s="35" t="str">
        <f>MIN(K11:K70)</f>
        <v>=MIN(K11:K70)</v>
      </c>
      <c r="L79" s="35" t="str">
        <f>MIN(L11:L70)</f>
        <v>=MIN(L11:L70)</v>
      </c>
      <c r="M79" s="33" t="str">
        <f>MIN(M11:M70)</f>
        <v>=MIN(M11:M70)</v>
      </c>
      <c r="N79" s="34" t="str">
        <f>MIN(N11:N70)</f>
        <v>=MIN(N11:N70)</v>
      </c>
      <c r="O79" s="34" t="str">
        <f>MIN(O11:O70)</f>
        <v>=MIN(O11:O70)</v>
      </c>
      <c r="P79" s="33" t="str">
        <f>MIN(P11:P70)</f>
        <v>=MIN(P11:P70)</v>
      </c>
      <c r="Q79" s="35" t="str">
        <f>MIN(Q11:Q70)</f>
        <v>=MIN(Q11:Q70)</v>
      </c>
      <c r="R79" s="34" t="str">
        <f>MIN(R11:R70)</f>
        <v>=MIN(R11:R70)</v>
      </c>
      <c r="S79" s="34" t="str">
        <f>MIN(S11:S70)</f>
        <v>=MIN(S11:S70)</v>
      </c>
      <c r="T79" s="34" t="str">
        <f>MIN(T11:T70)</f>
        <v>=MIN(T11:T70)</v>
      </c>
      <c r="U79" s="33" t="str">
        <f>MIN(U11:U70)</f>
        <v>=MIN(U11:U70)</v>
      </c>
      <c r="V79" s="33" t="str">
        <f>MIN(V11:V70)</f>
        <v>=MIN(V11:V70)</v>
      </c>
      <c r="W79" s="33" t="str">
        <f>MIN(W11:W70)</f>
        <v>=MIN(W11:W70)</v>
      </c>
      <c r="X79" s="34">
        <v>0</v>
      </c>
      <c r="Y79" s="34">
        <v>0</v>
      </c>
      <c r="Z79" s="34">
        <v>0</v>
      </c>
      <c r="AA79" s="34">
        <v>0</v>
      </c>
      <c r="AB79" s="34">
        <v>0</v>
      </c>
      <c r="AC79" s="34" t="str">
        <f>MIN(AC11:AC70)</f>
        <v>=MIN(AC11:AC70)</v>
      </c>
      <c r="AD79" s="33" t="str">
        <f>MIN(AD11:AD70)</f>
        <v>=MIN(AD11:AD70)</v>
      </c>
      <c r="AE79" s="33" t="str">
        <f>MIN(AE11:AE70)</f>
        <v>=MIN(AE11:AE70)</v>
      </c>
    </row>
    <row r="80" spans="1:32">
      <c r="AD80" s="18">
        <v>0</v>
      </c>
    </row>
    <row r="81" spans="1:32" customHeight="1" ht="18.75"/>
    <row r="82" spans="1:32" customHeight="1" ht="15.75"/>
    <row r="85" spans="1:32" customHeight="1" ht="24.75"/>
    <row r="87" spans="1:32" customHeight="1" ht="13.5">
      <c r="O87" s="2">
        <v>0</v>
      </c>
    </row>
    <row r="88" spans="1:32" customHeight="1" ht="19.5">
      <c r="L88" s="12">
        <v>0</v>
      </c>
      <c r="N88" s="3">
        <v>0</v>
      </c>
      <c r="O88" s="3">
        <v>0</v>
      </c>
      <c r="P88" s="12" t="inlineStr">
        <is>
          <r>
            <t xml:space="preserve">1 microsiemens/centímetro = 0.001 milisiemens/centímetro</t>
          </r>
        </is>
      </c>
      <c r="Q88" s="12">
        <v>0</v>
      </c>
      <c r="R88" s="12">
        <v>0</v>
      </c>
    </row>
    <row r="90" spans="1:32" customHeight="1" ht="18">
      <c r="O90" s="4">
        <v>0</v>
      </c>
    </row>
    <row r="91" spans="1:32" customHeight="1" ht="18">
      <c r="L91" s="19">
        <v>0</v>
      </c>
      <c r="O91" s="1">
        <v>0</v>
      </c>
      <c r="P91" s="19" t="inlineStr">
        <is>
          <r>
            <t xml:space="preserve">1 mho/centímetro = 1 siemens/centímetro</t>
          </r>
        </is>
      </c>
      <c r="Q91" s="19">
        <v>0</v>
      </c>
      <c r="R91" s="19">
        <v>0</v>
      </c>
    </row>
    <row r="92" spans="1:32">
      <c r="L92" s="5" t="inlineStr">
        <is>
          <r>
            <t xml:space="preserve">1us</t>
          </r>
        </is>
      </c>
      <c r="O92" s="20">
        <v>0</v>
      </c>
      <c r="P92" s="6" t="inlineStr">
        <is>
          <r>
            <t xml:space="preserve">1 umho</t>
          </r>
        </is>
      </c>
    </row>
    <row r="94" spans="1:32">
      <c r="P94" s="20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Y6:Y10"/>
    <mergeCell ref="D76:F76"/>
    <mergeCell ref="E6:F7"/>
    <mergeCell ref="C6:D10"/>
    <mergeCell ref="B8:B9"/>
    <mergeCell ref="AC8:AE8"/>
    <mergeCell ref="D75:F75"/>
    <mergeCell ref="E8:F8"/>
    <mergeCell ref="O75:O76"/>
    <mergeCell ref="E10:F10"/>
    <mergeCell ref="AC9:AE9"/>
    <mergeCell ref="Z6:Z10"/>
    <mergeCell ref="E9:F9"/>
    <mergeCell ref="AB6:AB10"/>
    <mergeCell ref="M75:M76"/>
    <mergeCell ref="B71:Q71"/>
    <mergeCell ref="AA6:AA10"/>
    <mergeCell ref="B4:AE4"/>
    <mergeCell ref="P94:R94"/>
    <mergeCell ref="B72:M72"/>
    <mergeCell ref="Q75:Q76"/>
    <mergeCell ref="X6:X10"/>
    <mergeCell ref="D77:F77"/>
  </mergeCells>
  <printOptions gridLines="false" gridLinesSet="true"/>
  <pageMargins left="0.7" right="0.7" top="0.75" bottom="0.75" header="0.3" footer="0.3"/>
  <pageSetup paperSize="9" orientation="portrait" scale="19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SUB. VIRÚ - 1°- 2026 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Ramon Galvez Urrunaga</dc:creator>
  <cp:lastModifiedBy>Sistema Gestion Regantes</cp:lastModifiedBy>
  <dcterms:created xsi:type="dcterms:W3CDTF">2024-05-23T21:52:07+02:00</dcterms:created>
  <dcterms:modified xsi:type="dcterms:W3CDTF">2026-08-24T18:58:26+02:00</dcterms:modified>
  <dc:title/>
  <dc:description/>
  <dc:subject/>
  <cp:keywords/>
  <cp:category/>
</cp:coreProperties>
</file>