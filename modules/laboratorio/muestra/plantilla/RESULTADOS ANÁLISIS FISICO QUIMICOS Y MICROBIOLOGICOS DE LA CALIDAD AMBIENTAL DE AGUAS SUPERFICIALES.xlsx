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SISTEMAS\gestionTI2026\modules\laboratorio\muestra\plantilla\"/>
    </mc:Choice>
  </mc:AlternateContent>
  <xr:revisionPtr revIDLastSave="0" documentId="13_ncr:1_{55EDD752-9C67-44D1-A556-2B17C88C04AC}" xr6:coauthVersionLast="47" xr6:coauthVersionMax="47" xr10:uidLastSave="{00000000-0000-0000-0000-000000000000}"/>
  <bookViews>
    <workbookView xWindow="38280" yWindow="9915" windowWidth="29040" windowHeight="15840" xr2:uid="{00000000-000D-0000-FFFF-FFFF00000000}"/>
  </bookViews>
  <sheets>
    <sheet name="MARZO 2026" sheetId="4" r:id="rId1"/>
  </sheets>
  <definedNames>
    <definedName name="_xlnm.Print_Area" localSheetId="0">'MARZO 2026'!$A$1:$Q$46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" i="4" l="1"/>
  <c r="Q11" i="4" l="1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Q10" i="4"/>
</calcChain>
</file>

<file path=xl/sharedStrings.xml><?xml version="1.0" encoding="utf-8"?>
<sst xmlns="http://schemas.openxmlformats.org/spreadsheetml/2006/main" count="117" uniqueCount="63">
  <si>
    <t>PARÁMETROS</t>
  </si>
  <si>
    <t>Unidad de Medida</t>
  </si>
  <si>
    <t>DS N° 004-2017 MINAM</t>
  </si>
  <si>
    <t>RESULTADOS</t>
  </si>
  <si>
    <t>Riego Vegetales</t>
  </si>
  <si>
    <t>Bebida Animales</t>
  </si>
  <si>
    <t>ANALISIS FÍSICOS</t>
  </si>
  <si>
    <t>MAX</t>
  </si>
  <si>
    <t>MIN</t>
  </si>
  <si>
    <t>Conductividad Eléctrica</t>
  </si>
  <si>
    <t>(µS/cm)</t>
  </si>
  <si>
    <t>2 500</t>
  </si>
  <si>
    <t>5 000</t>
  </si>
  <si>
    <t>pH</t>
  </si>
  <si>
    <t>-</t>
  </si>
  <si>
    <t>6,5 – 8,5</t>
  </si>
  <si>
    <t>6,5 – 8,4</t>
  </si>
  <si>
    <t>Sólidos Totales  Disueltos</t>
  </si>
  <si>
    <t>(mg/L)</t>
  </si>
  <si>
    <t>Temperatura</t>
  </si>
  <si>
    <t>°C</t>
  </si>
  <si>
    <t xml:space="preserve">Turbidez </t>
  </si>
  <si>
    <t>NTU</t>
  </si>
  <si>
    <t>ANALISIS QUÍMICOS</t>
  </si>
  <si>
    <r>
      <t>Nitratos  (NO</t>
    </r>
    <r>
      <rPr>
        <b/>
        <sz val="5"/>
        <color rgb="FF000000"/>
        <rFont val="Calibri"/>
        <family val="2"/>
      </rPr>
      <t>3</t>
    </r>
    <r>
      <rPr>
        <b/>
        <sz val="9"/>
        <color rgb="FF000000"/>
        <rFont val="Calibri"/>
        <family val="2"/>
      </rPr>
      <t>-)</t>
    </r>
  </si>
  <si>
    <t>mg/L</t>
  </si>
  <si>
    <r>
      <t>Nitritos  (NO</t>
    </r>
    <r>
      <rPr>
        <b/>
        <sz val="5"/>
        <color rgb="FF000000"/>
        <rFont val="Calibri"/>
        <family val="2"/>
      </rPr>
      <t>2</t>
    </r>
    <r>
      <rPr>
        <b/>
        <sz val="9"/>
        <color rgb="FF000000"/>
        <rFont val="Calibri"/>
        <family val="2"/>
      </rPr>
      <t>-)</t>
    </r>
  </si>
  <si>
    <r>
      <t>Cromo Hexavalente (Cr</t>
    </r>
    <r>
      <rPr>
        <b/>
        <sz val="5"/>
        <color rgb="FF000000"/>
        <rFont val="Calibri"/>
        <family val="2"/>
      </rPr>
      <t>6+</t>
    </r>
    <r>
      <rPr>
        <b/>
        <sz val="9"/>
        <color rgb="FF000000"/>
        <rFont val="Calibri"/>
        <family val="2"/>
      </rPr>
      <t>)</t>
    </r>
  </si>
  <si>
    <t>0,1</t>
  </si>
  <si>
    <t>Cobre (Cu)</t>
  </si>
  <si>
    <t>0,2</t>
  </si>
  <si>
    <t>0,5</t>
  </si>
  <si>
    <t>Manganeso (Mn)</t>
  </si>
  <si>
    <t>Sulfatos  (SO₄²-)</t>
  </si>
  <si>
    <t>1 000</t>
  </si>
  <si>
    <t>Hierro (Fe)</t>
  </si>
  <si>
    <t>Zinc (Zn)</t>
  </si>
  <si>
    <r>
      <t xml:space="preserve">Cloruros (Cl-) </t>
    </r>
    <r>
      <rPr>
        <b/>
        <sz val="5"/>
        <color rgb="FF000000"/>
        <rFont val="Calibri"/>
        <family val="2"/>
      </rPr>
      <t>(*)</t>
    </r>
  </si>
  <si>
    <t>Magnesio (Mg) (*)</t>
  </si>
  <si>
    <t>Calcio (Ca) (*)</t>
  </si>
  <si>
    <t>Sodio (Na) (*)</t>
  </si>
  <si>
    <t>Amonio (*)</t>
  </si>
  <si>
    <t>ANALISIS MICROBIOLÓGICOS</t>
  </si>
  <si>
    <t>Coliformes
Totales</t>
  </si>
  <si>
    <t>NMP/100 ml</t>
  </si>
  <si>
    <t>Coliformes
Termotolerantes</t>
  </si>
  <si>
    <t>(*) Metodo realizado con Ion multiparámetro IMACIMUS</t>
  </si>
  <si>
    <t xml:space="preserve">LMP-DS N° 004-2017 </t>
  </si>
  <si>
    <t>LMP-DS N° 004-2017  - RIEGO</t>
  </si>
  <si>
    <t>LMP-DS N° 004-2017 - ANIMALES</t>
  </si>
  <si>
    <t>LMP-DS N° 004-2017  - RIEGO Y ANIMALES</t>
  </si>
  <si>
    <t>RIO TABLACHACA</t>
  </si>
  <si>
    <t>RIO SANTA</t>
  </si>
  <si>
    <t>ENTRADA DESARENADOR</t>
  </si>
  <si>
    <t>SALIDA DESARENADOR</t>
  </si>
  <si>
    <t>CANAL EVACUADOR</t>
  </si>
  <si>
    <t>RIO VIRU</t>
  </si>
  <si>
    <t>RIO MOCHE</t>
  </si>
  <si>
    <t>RIO CHICAMA</t>
  </si>
  <si>
    <t>RESULTADOS ANÁLISIS FISICO QUIMICOS Y MICROBIOLOGICOS DE LA CALIDAD AMBIENTAL DE AGUAS SUPERFICIALES
MARZO - 2026</t>
  </si>
  <si>
    <t>CANAL MADRE</t>
  </si>
  <si>
    <t>CENTRAL HIDROELÉCTRICA VIRÚ SAN JOSÉ</t>
  </si>
  <si>
    <t>&gt;1100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</si>
</sst>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_ * #,##0_ ;_ * \-#,##0_ ;_ * &quot;-&quot;??_ ;_ @_ "/>
    <numFmt numFmtId="166" formatCode="0.0"/>
    <numFmt numFmtId="167" formatCode="_ * #,##0.0_ ;_ * \-#,##0.0_ ;_ * &quot;-&quot;??_ ;_ @_ 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FFFFFF"/>
      <name val="Calibri"/>
      <family val="2"/>
    </font>
    <font>
      <b/>
      <sz val="9"/>
      <color theme="0"/>
      <name val="Calibri"/>
      <family val="2"/>
    </font>
    <font>
      <b/>
      <sz val="9"/>
      <name val="Calibri"/>
      <family val="2"/>
    </font>
    <font>
      <b/>
      <sz val="9"/>
      <color rgb="FF000000"/>
      <name val="Calibri"/>
      <family val="2"/>
    </font>
    <font>
      <b/>
      <sz val="5"/>
      <color rgb="FF000000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2">
    <xf numFmtId="0" fontId="0" fillId="0" borderId="0" xfId="0"/>
    <xf numFmtId="0" fontId="4" fillId="2" borderId="5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3" borderId="8" xfId="0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0" fontId="6" fillId="3" borderId="8" xfId="0" quotePrefix="1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8" xfId="0" quotePrefix="1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right" vertical="center" wrapText="1"/>
    </xf>
    <xf numFmtId="0" fontId="9" fillId="3" borderId="8" xfId="0" quotePrefix="1" applyFont="1" applyFill="1" applyBorder="1" applyAlignment="1">
      <alignment horizontal="center" vertical="center" wrapText="1"/>
    </xf>
    <xf numFmtId="1" fontId="11" fillId="3" borderId="8" xfId="0" applyNumberFormat="1" applyFont="1" applyFill="1" applyBorder="1" applyAlignment="1">
      <alignment horizontal="center" wrapText="1"/>
    </xf>
    <xf numFmtId="166" fontId="12" fillId="3" borderId="8" xfId="0" applyNumberFormat="1" applyFont="1" applyFill="1" applyBorder="1" applyAlignment="1">
      <alignment horizontal="center" wrapText="1"/>
    </xf>
    <xf numFmtId="166" fontId="11" fillId="3" borderId="8" xfId="0" applyNumberFormat="1" applyFont="1" applyFill="1" applyBorder="1" applyAlignment="1">
      <alignment horizontal="center" wrapText="1"/>
    </xf>
    <xf numFmtId="0" fontId="11" fillId="3" borderId="8" xfId="0" applyFont="1" applyFill="1" applyBorder="1" applyAlignment="1">
      <alignment horizontal="center" vertical="center" wrapText="1"/>
    </xf>
    <xf numFmtId="165" fontId="11" fillId="3" borderId="8" xfId="1" applyNumberFormat="1" applyFont="1" applyFill="1" applyBorder="1" applyAlignment="1">
      <alignment horizontal="center" vertical="center" wrapText="1"/>
    </xf>
    <xf numFmtId="166" fontId="11" fillId="3" borderId="8" xfId="0" applyNumberFormat="1" applyFont="1" applyFill="1" applyBorder="1" applyAlignment="1">
      <alignment horizontal="center" vertical="center" wrapText="1"/>
    </xf>
    <xf numFmtId="1" fontId="12" fillId="3" borderId="8" xfId="0" applyNumberFormat="1" applyFont="1" applyFill="1" applyBorder="1" applyAlignment="1">
      <alignment horizontal="center" vertical="center" wrapText="1"/>
    </xf>
    <xf numFmtId="2" fontId="11" fillId="3" borderId="8" xfId="0" applyNumberFormat="1" applyFont="1" applyFill="1" applyBorder="1" applyAlignment="1">
      <alignment horizontal="center" vertical="center" wrapText="1"/>
    </xf>
    <xf numFmtId="2" fontId="14" fillId="3" borderId="8" xfId="0" applyNumberFormat="1" applyFont="1" applyFill="1" applyBorder="1" applyAlignment="1">
      <alignment horizontal="center" vertical="center" wrapText="1"/>
    </xf>
    <xf numFmtId="166" fontId="12" fillId="3" borderId="8" xfId="0" applyNumberFormat="1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1" fontId="13" fillId="3" borderId="8" xfId="0" applyNumberFormat="1" applyFont="1" applyFill="1" applyBorder="1" applyAlignment="1">
      <alignment horizontal="center" vertical="center" wrapText="1"/>
    </xf>
    <xf numFmtId="1" fontId="14" fillId="3" borderId="8" xfId="0" applyNumberFormat="1" applyFont="1" applyFill="1" applyBorder="1" applyAlignment="1">
      <alignment horizontal="center" vertical="center" wrapText="1"/>
    </xf>
    <xf numFmtId="165" fontId="14" fillId="3" borderId="8" xfId="1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7" fillId="3" borderId="0" xfId="0" applyFont="1" applyFill="1" applyAlignment="1">
      <alignment horizontal="center" vertical="center" wrapText="1"/>
    </xf>
    <xf numFmtId="1" fontId="11" fillId="3" borderId="8" xfId="0" applyNumberFormat="1" applyFont="1" applyFill="1" applyBorder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Q45"/>
  <sheetViews>
    <sheetView showGridLines="0" tabSelected="1" view="pageBreakPreview" zoomScale="55" zoomScaleNormal="145" zoomScaleSheetLayoutView="55" workbookViewId="0">
      <selection activeCell="U15" sqref="U15"/>
    </sheetView>
  </sheetViews>
  <sheetFormatPr baseColWidth="10" defaultColWidth="11.42578125" defaultRowHeight="15" x14ac:dyDescent="0.25"/>
  <cols>
    <col min="1" max="1" width="1.7109375" customWidth="1"/>
    <col min="2" max="2" width="19.140625" customWidth="1"/>
    <col min="3" max="3" width="10.28515625" customWidth="1"/>
    <col min="4" max="4" width="10.42578125" customWidth="1"/>
    <col min="5" max="5" width="11.28515625" customWidth="1"/>
    <col min="6" max="6" width="15" customWidth="1"/>
    <col min="7" max="7" width="9.42578125" customWidth="1"/>
    <col min="8" max="8" width="15.5703125" customWidth="1"/>
    <col min="9" max="9" width="14.7109375" customWidth="1"/>
    <col min="10" max="10" width="13.7109375" customWidth="1"/>
    <col min="11" max="11" width="8.85546875" customWidth="1"/>
    <col min="12" max="12" width="13" customWidth="1"/>
    <col min="13" max="14" width="16" customWidth="1"/>
    <col min="15" max="15" width="20.7109375" customWidth="1"/>
  </cols>
  <sheetData>
    <row r="1" spans="2:17" ht="6" customHeight="1" x14ac:dyDescent="0.25"/>
    <row r="2" spans="2:17" ht="6" customHeight="1" x14ac:dyDescent="0.25"/>
    <row r="3" spans="2:17" ht="6.75" customHeight="1" x14ac:dyDescent="0.25"/>
    <row r="4" spans="2:17" ht="37.5" customHeight="1" x14ac:dyDescent="0.25">
      <c r="B4" s="35" t="s">
        <v>59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28"/>
      <c r="O4" s="28"/>
    </row>
    <row r="5" spans="2:17" ht="2.25" customHeight="1" thickBot="1" x14ac:dyDescent="0.3"/>
    <row r="6" spans="2:17" ht="24.75" customHeight="1" thickBot="1" x14ac:dyDescent="0.3">
      <c r="B6" s="37" t="s">
        <v>0</v>
      </c>
      <c r="C6" s="37" t="s">
        <v>1</v>
      </c>
      <c r="D6" s="39" t="s">
        <v>2</v>
      </c>
      <c r="E6" s="39"/>
      <c r="F6" s="40" t="s">
        <v>3</v>
      </c>
      <c r="G6" s="41"/>
      <c r="H6" s="41"/>
      <c r="I6" s="41"/>
      <c r="J6" s="41"/>
      <c r="K6" s="41"/>
      <c r="L6" s="41"/>
      <c r="M6" s="41"/>
      <c r="N6" s="41"/>
      <c r="O6" s="41"/>
    </row>
    <row r="7" spans="2:17" ht="29.25" customHeight="1" thickBot="1" x14ac:dyDescent="0.3">
      <c r="B7" s="38"/>
      <c r="C7" s="38"/>
      <c r="D7" s="1" t="s">
        <v>4</v>
      </c>
      <c r="E7" s="2" t="s">
        <v>5</v>
      </c>
      <c r="F7" s="3" t="s">
        <v>51</v>
      </c>
      <c r="G7" s="3" t="s">
        <v>52</v>
      </c>
      <c r="H7" s="3" t="s">
        <v>53</v>
      </c>
      <c r="I7" s="3" t="s">
        <v>54</v>
      </c>
      <c r="J7" s="3" t="s">
        <v>55</v>
      </c>
      <c r="K7" s="3" t="s">
        <v>56</v>
      </c>
      <c r="L7" s="3" t="s">
        <v>57</v>
      </c>
      <c r="M7" s="3" t="s">
        <v>58</v>
      </c>
      <c r="N7" s="3" t="s">
        <v>60</v>
      </c>
      <c r="O7" s="3" t="s">
        <v>61</v>
      </c>
    </row>
    <row r="8" spans="2:17" ht="3" customHeight="1" x14ac:dyDescent="0.25"/>
    <row r="9" spans="2:17" ht="15.75" customHeight="1" thickBot="1" x14ac:dyDescent="0.3">
      <c r="B9" s="34" t="s">
        <v>6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29"/>
      <c r="O9" s="29"/>
      <c r="P9" s="4" t="s">
        <v>7</v>
      </c>
      <c r="Q9" s="4" t="s">
        <v>8</v>
      </c>
    </row>
    <row r="10" spans="2:17" ht="15.75" thickBot="1" x14ac:dyDescent="0.3">
      <c r="B10" s="5" t="s">
        <v>9</v>
      </c>
      <c r="C10" s="5" t="s">
        <v>10</v>
      </c>
      <c r="D10" s="5" t="s">
        <v>11</v>
      </c>
      <c r="E10" s="5" t="s">
        <v>12</v>
      </c>
      <c r="F10" s="14">
        <v>262</v>
      </c>
      <c r="G10" s="14">
        <v>153.19999999999999</v>
      </c>
      <c r="H10" s="14">
        <v>172.8</v>
      </c>
      <c r="I10" s="14">
        <v>166.8</v>
      </c>
      <c r="J10" s="14">
        <v>170.2</v>
      </c>
      <c r="K10" s="14">
        <v>258</v>
      </c>
      <c r="L10" s="14">
        <v>408</v>
      </c>
      <c r="M10" s="14">
        <v>306</v>
      </c>
      <c r="N10" s="14">
        <v>216.2</v>
      </c>
      <c r="O10" s="14">
        <v>203.3</v>
      </c>
      <c r="P10" s="6">
        <f>MAX(F10:O10)</f>
        <v>408</v>
      </c>
      <c r="Q10" s="6">
        <f>MIN(F10:O10)</f>
        <v>153.19999999999999</v>
      </c>
    </row>
    <row r="11" spans="2:17" ht="15.75" thickBot="1" x14ac:dyDescent="0.3">
      <c r="B11" s="5" t="s">
        <v>13</v>
      </c>
      <c r="C11" s="7" t="s">
        <v>14</v>
      </c>
      <c r="D11" s="7" t="s">
        <v>15</v>
      </c>
      <c r="E11" s="5" t="s">
        <v>16</v>
      </c>
      <c r="F11" s="15">
        <v>8.1300000000000008</v>
      </c>
      <c r="G11" s="16">
        <v>8.5299999999999994</v>
      </c>
      <c r="H11" s="16">
        <v>8.41</v>
      </c>
      <c r="I11" s="16">
        <v>8.44</v>
      </c>
      <c r="J11" s="16">
        <v>8.43</v>
      </c>
      <c r="K11" s="15">
        <v>8.2200000000000006</v>
      </c>
      <c r="L11" s="16">
        <v>5.49</v>
      </c>
      <c r="M11" s="16">
        <v>8.2100000000000009</v>
      </c>
      <c r="N11" s="16">
        <v>8.36</v>
      </c>
      <c r="O11" s="16">
        <v>8.4499999999999993</v>
      </c>
      <c r="P11" s="6">
        <f t="shared" ref="P11:P33" si="0">MAX(F11:O11)</f>
        <v>8.5299999999999994</v>
      </c>
      <c r="Q11" s="6">
        <f t="shared" ref="Q11:Q33" si="1">MIN(F11:O11)</f>
        <v>5.49</v>
      </c>
    </row>
    <row r="12" spans="2:17" ht="15.75" thickBot="1" x14ac:dyDescent="0.3">
      <c r="B12" s="5" t="s">
        <v>17</v>
      </c>
      <c r="C12" s="5" t="s">
        <v>18</v>
      </c>
      <c r="D12" s="7" t="s">
        <v>14</v>
      </c>
      <c r="E12" s="7" t="s">
        <v>14</v>
      </c>
      <c r="F12" s="14">
        <v>133.5</v>
      </c>
      <c r="G12" s="14">
        <v>77.400000000000006</v>
      </c>
      <c r="H12" s="14">
        <v>87.6</v>
      </c>
      <c r="I12" s="14">
        <v>84.6</v>
      </c>
      <c r="J12" s="14">
        <v>86.4</v>
      </c>
      <c r="K12" s="14">
        <v>124.5</v>
      </c>
      <c r="L12" s="14">
        <v>205</v>
      </c>
      <c r="M12" s="14">
        <v>144</v>
      </c>
      <c r="N12" s="14">
        <v>104.2</v>
      </c>
      <c r="O12" s="14">
        <v>97.5</v>
      </c>
      <c r="P12" s="6">
        <f t="shared" si="0"/>
        <v>205</v>
      </c>
      <c r="Q12" s="6">
        <f t="shared" si="1"/>
        <v>77.400000000000006</v>
      </c>
    </row>
    <row r="13" spans="2:17" ht="15.75" thickBot="1" x14ac:dyDescent="0.3">
      <c r="B13" s="5" t="s">
        <v>19</v>
      </c>
      <c r="C13" s="5" t="s">
        <v>20</v>
      </c>
      <c r="D13" s="7" t="s">
        <v>14</v>
      </c>
      <c r="E13" s="7" t="s">
        <v>14</v>
      </c>
      <c r="F13" s="17">
        <v>21.5</v>
      </c>
      <c r="G13" s="17">
        <v>20.6</v>
      </c>
      <c r="H13" s="17">
        <v>20.9</v>
      </c>
      <c r="I13" s="17">
        <v>20.399999999999999</v>
      </c>
      <c r="J13" s="17">
        <v>20.3</v>
      </c>
      <c r="K13" s="17">
        <v>23.7</v>
      </c>
      <c r="L13" s="17">
        <v>22.2</v>
      </c>
      <c r="M13" s="17">
        <v>25.4</v>
      </c>
      <c r="N13" s="17">
        <v>23</v>
      </c>
      <c r="O13" s="17">
        <v>22.9</v>
      </c>
      <c r="P13" s="6">
        <f t="shared" si="0"/>
        <v>25.4</v>
      </c>
      <c r="Q13" s="6">
        <f t="shared" si="1"/>
        <v>20.3</v>
      </c>
    </row>
    <row r="14" spans="2:17" ht="15.75" thickBot="1" x14ac:dyDescent="0.3">
      <c r="B14" s="5" t="s">
        <v>21</v>
      </c>
      <c r="C14" s="5" t="s">
        <v>22</v>
      </c>
      <c r="D14" s="7" t="s">
        <v>14</v>
      </c>
      <c r="E14" s="7" t="s">
        <v>14</v>
      </c>
      <c r="F14" s="18">
        <v>1853</v>
      </c>
      <c r="G14" s="18">
        <v>1197</v>
      </c>
      <c r="H14" s="18">
        <v>1053</v>
      </c>
      <c r="I14" s="18">
        <v>1071</v>
      </c>
      <c r="J14" s="18">
        <v>1084</v>
      </c>
      <c r="K14" s="18">
        <v>998</v>
      </c>
      <c r="L14" s="18">
        <v>1770</v>
      </c>
      <c r="M14" s="18">
        <v>2944</v>
      </c>
      <c r="N14" s="18">
        <v>384</v>
      </c>
      <c r="O14" s="18">
        <v>390</v>
      </c>
      <c r="P14" s="6">
        <f t="shared" si="0"/>
        <v>2944</v>
      </c>
      <c r="Q14" s="6">
        <f t="shared" si="1"/>
        <v>384</v>
      </c>
    </row>
    <row r="15" spans="2:17" ht="15.75" customHeight="1" thickBot="1" x14ac:dyDescent="0.3">
      <c r="B15" s="34" t="s">
        <v>23</v>
      </c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29"/>
      <c r="O15" s="29"/>
      <c r="P15" s="6">
        <f t="shared" si="0"/>
        <v>0</v>
      </c>
      <c r="Q15" s="6">
        <f t="shared" si="1"/>
        <v>0</v>
      </c>
    </row>
    <row r="16" spans="2:17" ht="1.5" customHeight="1" thickBot="1" x14ac:dyDescent="0.3">
      <c r="P16" s="6">
        <f t="shared" si="0"/>
        <v>0</v>
      </c>
      <c r="Q16" s="6">
        <f t="shared" si="1"/>
        <v>0</v>
      </c>
    </row>
    <row r="17" spans="2:17" ht="15.75" customHeight="1" thickBot="1" x14ac:dyDescent="0.3">
      <c r="B17" s="8" t="s">
        <v>24</v>
      </c>
      <c r="C17" s="8" t="s">
        <v>25</v>
      </c>
      <c r="D17" s="8">
        <v>100</v>
      </c>
      <c r="E17" s="8">
        <v>100</v>
      </c>
      <c r="F17" s="19">
        <v>81.400000000000006</v>
      </c>
      <c r="G17" s="19">
        <v>94</v>
      </c>
      <c r="H17" s="19">
        <v>124.7</v>
      </c>
      <c r="I17" s="19">
        <v>119.1</v>
      </c>
      <c r="J17" s="19">
        <v>66.599999999999994</v>
      </c>
      <c r="K17" s="19">
        <v>65.2</v>
      </c>
      <c r="L17" s="19">
        <v>151.4</v>
      </c>
      <c r="M17" s="19">
        <v>62.1</v>
      </c>
      <c r="N17" s="19">
        <v>125.9</v>
      </c>
      <c r="O17" s="19">
        <v>125.2</v>
      </c>
      <c r="P17" s="6">
        <f t="shared" si="0"/>
        <v>151.4</v>
      </c>
      <c r="Q17" s="6">
        <f t="shared" si="1"/>
        <v>62.1</v>
      </c>
    </row>
    <row r="18" spans="2:17" ht="15.75" thickBot="1" x14ac:dyDescent="0.3">
      <c r="B18" s="8" t="s">
        <v>26</v>
      </c>
      <c r="C18" s="8" t="s">
        <v>25</v>
      </c>
      <c r="D18" s="8">
        <v>10</v>
      </c>
      <c r="E18" s="9">
        <v>10</v>
      </c>
      <c r="F18" s="20">
        <v>1</v>
      </c>
      <c r="G18" s="20">
        <v>10</v>
      </c>
      <c r="H18" s="20">
        <v>2</v>
      </c>
      <c r="I18" s="20">
        <v>2</v>
      </c>
      <c r="J18" s="20">
        <v>1</v>
      </c>
      <c r="K18" s="20">
        <v>1</v>
      </c>
      <c r="L18" s="20">
        <v>1</v>
      </c>
      <c r="M18" s="20">
        <v>4</v>
      </c>
      <c r="N18" s="20">
        <v>2</v>
      </c>
      <c r="O18" s="20">
        <v>2</v>
      </c>
      <c r="P18" s="6">
        <f t="shared" si="0"/>
        <v>10</v>
      </c>
      <c r="Q18" s="6">
        <f t="shared" si="1"/>
        <v>1</v>
      </c>
    </row>
    <row r="19" spans="2:17" ht="24.75" thickBot="1" x14ac:dyDescent="0.3">
      <c r="B19" s="8" t="s">
        <v>27</v>
      </c>
      <c r="C19" s="8" t="s">
        <v>25</v>
      </c>
      <c r="D19" s="8" t="s">
        <v>28</v>
      </c>
      <c r="E19" s="8">
        <v>1</v>
      </c>
      <c r="F19" s="22">
        <v>2.5999999999999999E-2</v>
      </c>
      <c r="G19" s="22">
        <v>4.3999999999999997E-2</v>
      </c>
      <c r="H19" s="22">
        <v>2.9000000000000001E-2</v>
      </c>
      <c r="I19" s="21">
        <v>3.6999999999999998E-2</v>
      </c>
      <c r="J19" s="22">
        <v>2.8000000000000001E-2</v>
      </c>
      <c r="K19" s="22">
        <v>2.9000000000000001E-2</v>
      </c>
      <c r="L19" s="22">
        <v>1.7000000000000001E-2</v>
      </c>
      <c r="M19" s="22">
        <v>4.9000000000000002E-2</v>
      </c>
      <c r="N19" s="22">
        <v>2.9000000000000001E-2</v>
      </c>
      <c r="O19" s="22">
        <v>2.9000000000000001E-2</v>
      </c>
      <c r="P19" s="33">
        <f t="shared" si="0"/>
        <v>4.9000000000000002E-2</v>
      </c>
      <c r="Q19" s="33">
        <f t="shared" si="1"/>
        <v>1.7000000000000001E-2</v>
      </c>
    </row>
    <row r="20" spans="2:17" ht="15.75" thickBot="1" x14ac:dyDescent="0.3">
      <c r="B20" s="8" t="s">
        <v>29</v>
      </c>
      <c r="C20" s="8" t="s">
        <v>25</v>
      </c>
      <c r="D20" s="8" t="s">
        <v>30</v>
      </c>
      <c r="E20" s="8" t="s">
        <v>31</v>
      </c>
      <c r="F20" s="23">
        <v>1.41</v>
      </c>
      <c r="G20" s="23">
        <v>1.43</v>
      </c>
      <c r="H20" s="23">
        <v>0.94</v>
      </c>
      <c r="I20" s="23">
        <v>1.43</v>
      </c>
      <c r="J20" s="23">
        <v>1.2849999999999999</v>
      </c>
      <c r="K20" s="23">
        <v>1.0740000000000001</v>
      </c>
      <c r="L20" s="23">
        <v>1.91</v>
      </c>
      <c r="M20" s="23">
        <v>2.6</v>
      </c>
      <c r="N20" s="23">
        <v>0.75</v>
      </c>
      <c r="O20" s="23">
        <v>1.64</v>
      </c>
      <c r="P20" s="32">
        <f t="shared" si="0"/>
        <v>2.6</v>
      </c>
      <c r="Q20" s="32">
        <f t="shared" si="1"/>
        <v>0.75</v>
      </c>
    </row>
    <row r="21" spans="2:17" ht="15.75" thickBot="1" x14ac:dyDescent="0.3">
      <c r="B21" s="8" t="s">
        <v>32</v>
      </c>
      <c r="C21" s="8" t="s">
        <v>25</v>
      </c>
      <c r="D21" s="8" t="s">
        <v>30</v>
      </c>
      <c r="E21" s="8" t="s">
        <v>30</v>
      </c>
      <c r="F21" s="21">
        <v>1.02</v>
      </c>
      <c r="G21" s="21">
        <v>0.54</v>
      </c>
      <c r="H21" s="21">
        <v>0.79</v>
      </c>
      <c r="I21" s="21">
        <v>0.98</v>
      </c>
      <c r="J21" s="21">
        <v>0.62</v>
      </c>
      <c r="K21" s="21">
        <v>0.23</v>
      </c>
      <c r="L21" s="21">
        <v>2.4900000000000002</v>
      </c>
      <c r="M21" s="21">
        <v>0.59</v>
      </c>
      <c r="N21" s="21">
        <v>0.21</v>
      </c>
      <c r="O21" s="21">
        <v>0.19</v>
      </c>
      <c r="P21" s="6">
        <f t="shared" si="0"/>
        <v>2.4900000000000002</v>
      </c>
      <c r="Q21" s="32">
        <f t="shared" si="1"/>
        <v>0.19</v>
      </c>
    </row>
    <row r="22" spans="2:17" ht="15.75" thickBot="1" x14ac:dyDescent="0.3">
      <c r="B22" s="8" t="s">
        <v>33</v>
      </c>
      <c r="C22" s="8" t="s">
        <v>25</v>
      </c>
      <c r="D22" s="8" t="s">
        <v>34</v>
      </c>
      <c r="E22" s="8" t="s">
        <v>34</v>
      </c>
      <c r="F22" s="24">
        <v>104</v>
      </c>
      <c r="G22" s="24">
        <v>96</v>
      </c>
      <c r="H22" s="24">
        <v>100</v>
      </c>
      <c r="I22" s="24">
        <v>106</v>
      </c>
      <c r="J22" s="24">
        <v>138</v>
      </c>
      <c r="K22" s="24">
        <v>124</v>
      </c>
      <c r="L22" s="24">
        <v>148</v>
      </c>
      <c r="M22" s="24">
        <v>235</v>
      </c>
      <c r="N22" s="24">
        <v>164</v>
      </c>
      <c r="O22" s="24">
        <v>138</v>
      </c>
      <c r="P22" s="6">
        <f t="shared" si="0"/>
        <v>235</v>
      </c>
      <c r="Q22" s="6">
        <f t="shared" si="1"/>
        <v>96</v>
      </c>
    </row>
    <row r="23" spans="2:17" ht="15.75" thickBot="1" x14ac:dyDescent="0.3">
      <c r="B23" s="8" t="s">
        <v>35</v>
      </c>
      <c r="C23" s="8" t="s">
        <v>25</v>
      </c>
      <c r="D23" s="8">
        <v>5</v>
      </c>
      <c r="E23" s="9" t="s">
        <v>14</v>
      </c>
      <c r="F23" s="24">
        <v>2.1</v>
      </c>
      <c r="G23" s="24">
        <v>2</v>
      </c>
      <c r="H23" s="24">
        <v>2.2000000000000002</v>
      </c>
      <c r="I23" s="24">
        <v>1.9</v>
      </c>
      <c r="J23" s="24">
        <v>1.8</v>
      </c>
      <c r="K23" s="24">
        <v>3.1</v>
      </c>
      <c r="L23" s="24">
        <v>4.2</v>
      </c>
      <c r="M23" s="24">
        <v>1.9</v>
      </c>
      <c r="N23" s="24">
        <v>1.7</v>
      </c>
      <c r="O23" s="24">
        <v>0.98</v>
      </c>
      <c r="P23" s="6">
        <f t="shared" si="0"/>
        <v>4.2</v>
      </c>
      <c r="Q23" s="6">
        <f t="shared" si="1"/>
        <v>0.98</v>
      </c>
    </row>
    <row r="24" spans="2:17" ht="15.75" customHeight="1" thickBot="1" x14ac:dyDescent="0.3">
      <c r="B24" s="8" t="s">
        <v>36</v>
      </c>
      <c r="C24" s="8" t="s">
        <v>25</v>
      </c>
      <c r="D24" s="8">
        <v>2</v>
      </c>
      <c r="E24" s="8">
        <v>24</v>
      </c>
      <c r="F24" s="24">
        <v>2.54</v>
      </c>
      <c r="G24" s="24">
        <v>2.2200000000000002</v>
      </c>
      <c r="H24" s="24">
        <v>3.01</v>
      </c>
      <c r="I24" s="24">
        <v>2.71</v>
      </c>
      <c r="J24" s="24">
        <v>2.98</v>
      </c>
      <c r="K24" s="24">
        <v>1.89</v>
      </c>
      <c r="L24" s="24">
        <v>3.44</v>
      </c>
      <c r="M24" s="24">
        <v>1.26</v>
      </c>
      <c r="N24" s="24">
        <v>0.97</v>
      </c>
      <c r="O24" s="24">
        <v>0.83</v>
      </c>
      <c r="P24" s="6">
        <f t="shared" si="0"/>
        <v>3.44</v>
      </c>
      <c r="Q24" s="6">
        <f t="shared" si="1"/>
        <v>0.83</v>
      </c>
    </row>
    <row r="25" spans="2:17" ht="15.75" customHeight="1" thickBot="1" x14ac:dyDescent="0.3">
      <c r="B25" s="8" t="s">
        <v>37</v>
      </c>
      <c r="C25" s="8" t="s">
        <v>25</v>
      </c>
      <c r="D25" s="8">
        <v>500</v>
      </c>
      <c r="E25" s="9" t="s">
        <v>14</v>
      </c>
      <c r="F25" s="27">
        <v>1265</v>
      </c>
      <c r="G25" s="27">
        <v>1002</v>
      </c>
      <c r="H25" s="27">
        <v>987</v>
      </c>
      <c r="I25" s="27">
        <v>785</v>
      </c>
      <c r="J25" s="27">
        <v>722</v>
      </c>
      <c r="K25" s="27">
        <v>1603</v>
      </c>
      <c r="L25" s="27">
        <v>1879</v>
      </c>
      <c r="M25" s="27">
        <v>1004</v>
      </c>
      <c r="N25" s="27">
        <v>796</v>
      </c>
      <c r="O25" s="27">
        <v>890</v>
      </c>
      <c r="P25" s="6">
        <f t="shared" si="0"/>
        <v>1879</v>
      </c>
      <c r="Q25" s="6">
        <f t="shared" si="1"/>
        <v>722</v>
      </c>
    </row>
    <row r="26" spans="2:17" ht="15.75" customHeight="1" thickBot="1" x14ac:dyDescent="0.3">
      <c r="B26" s="8" t="s">
        <v>38</v>
      </c>
      <c r="C26" s="8" t="s">
        <v>25</v>
      </c>
      <c r="D26" s="9" t="s">
        <v>14</v>
      </c>
      <c r="E26" s="8">
        <v>250</v>
      </c>
      <c r="F26" s="27">
        <v>1254</v>
      </c>
      <c r="G26" s="27">
        <v>1589</v>
      </c>
      <c r="H26" s="27">
        <v>1478</v>
      </c>
      <c r="I26" s="27">
        <v>1212</v>
      </c>
      <c r="J26" s="27">
        <v>1005</v>
      </c>
      <c r="K26" s="27">
        <v>2879</v>
      </c>
      <c r="L26" s="27">
        <v>1489</v>
      </c>
      <c r="M26" s="27">
        <v>1372</v>
      </c>
      <c r="N26" s="27">
        <v>987</v>
      </c>
      <c r="O26" s="27">
        <v>1002</v>
      </c>
      <c r="P26" s="6">
        <f t="shared" si="0"/>
        <v>2879</v>
      </c>
      <c r="Q26" s="6">
        <f t="shared" si="1"/>
        <v>987</v>
      </c>
    </row>
    <row r="27" spans="2:17" ht="15.75" customHeight="1" thickBot="1" x14ac:dyDescent="0.3">
      <c r="B27" s="8" t="s">
        <v>39</v>
      </c>
      <c r="C27" s="8" t="s">
        <v>25</v>
      </c>
      <c r="D27" s="9" t="s">
        <v>14</v>
      </c>
      <c r="E27" s="9" t="s">
        <v>14</v>
      </c>
      <c r="F27" s="27">
        <v>387</v>
      </c>
      <c r="G27" s="27">
        <v>221</v>
      </c>
      <c r="H27" s="27">
        <v>240</v>
      </c>
      <c r="I27" s="27">
        <v>317</v>
      </c>
      <c r="J27" s="27">
        <v>310</v>
      </c>
      <c r="K27" s="27">
        <v>419</v>
      </c>
      <c r="L27" s="27">
        <v>319</v>
      </c>
      <c r="M27" s="27">
        <v>321</v>
      </c>
      <c r="N27" s="27">
        <v>209</v>
      </c>
      <c r="O27" s="27">
        <v>278</v>
      </c>
      <c r="P27" s="6">
        <f t="shared" si="0"/>
        <v>419</v>
      </c>
      <c r="Q27" s="6">
        <f t="shared" si="1"/>
        <v>209</v>
      </c>
    </row>
    <row r="28" spans="2:17" ht="15.75" customHeight="1" thickBot="1" x14ac:dyDescent="0.3">
      <c r="B28" s="8" t="s">
        <v>40</v>
      </c>
      <c r="C28" s="8" t="s">
        <v>25</v>
      </c>
      <c r="D28" s="9" t="s">
        <v>14</v>
      </c>
      <c r="E28" s="9" t="s">
        <v>14</v>
      </c>
      <c r="F28" s="27">
        <v>292</v>
      </c>
      <c r="G28" s="27">
        <v>198</v>
      </c>
      <c r="H28" s="27">
        <v>228</v>
      </c>
      <c r="I28" s="27">
        <v>215</v>
      </c>
      <c r="J28" s="27">
        <v>367</v>
      </c>
      <c r="K28" s="27">
        <v>384</v>
      </c>
      <c r="L28" s="27">
        <v>218</v>
      </c>
      <c r="M28" s="27">
        <v>165</v>
      </c>
      <c r="N28" s="27">
        <v>184</v>
      </c>
      <c r="O28" s="27">
        <v>112</v>
      </c>
      <c r="P28" s="6">
        <f t="shared" si="0"/>
        <v>384</v>
      </c>
      <c r="Q28" s="6">
        <f t="shared" si="1"/>
        <v>112</v>
      </c>
    </row>
    <row r="29" spans="2:17" ht="15.75" customHeight="1" thickBot="1" x14ac:dyDescent="0.3">
      <c r="B29" s="11" t="s">
        <v>41</v>
      </c>
      <c r="C29" s="8" t="s">
        <v>25</v>
      </c>
      <c r="D29" s="9" t="s">
        <v>14</v>
      </c>
      <c r="E29" s="9" t="s">
        <v>14</v>
      </c>
      <c r="F29" s="27">
        <v>10</v>
      </c>
      <c r="G29" s="27">
        <v>7</v>
      </c>
      <c r="H29" s="27">
        <v>9</v>
      </c>
      <c r="I29" s="27">
        <v>7</v>
      </c>
      <c r="J29" s="27">
        <v>7</v>
      </c>
      <c r="K29" s="27">
        <v>8</v>
      </c>
      <c r="L29" s="27">
        <v>11</v>
      </c>
      <c r="M29" s="27">
        <v>4.83</v>
      </c>
      <c r="N29" s="27">
        <v>5</v>
      </c>
      <c r="O29" s="27">
        <v>5</v>
      </c>
      <c r="P29" s="6">
        <f t="shared" si="0"/>
        <v>11</v>
      </c>
      <c r="Q29" s="6">
        <f t="shared" si="1"/>
        <v>4.83</v>
      </c>
    </row>
    <row r="30" spans="2:17" ht="15.75" customHeight="1" thickBot="1" x14ac:dyDescent="0.3">
      <c r="B30" s="34" t="s">
        <v>42</v>
      </c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29"/>
      <c r="O30" s="29"/>
      <c r="P30" s="6">
        <f t="shared" si="0"/>
        <v>0</v>
      </c>
      <c r="Q30" s="6">
        <f t="shared" si="1"/>
        <v>0</v>
      </c>
    </row>
    <row r="31" spans="2:17" ht="1.5" customHeight="1" thickBot="1" x14ac:dyDescent="0.3">
      <c r="P31" s="6">
        <f t="shared" si="0"/>
        <v>0</v>
      </c>
      <c r="Q31" s="6">
        <f t="shared" si="1"/>
        <v>0</v>
      </c>
    </row>
    <row r="32" spans="2:17" ht="24.75" thickBot="1" x14ac:dyDescent="0.3">
      <c r="B32" s="8" t="s">
        <v>43</v>
      </c>
      <c r="C32" s="8" t="s">
        <v>44</v>
      </c>
      <c r="D32" s="9" t="s">
        <v>14</v>
      </c>
      <c r="E32" s="9" t="s">
        <v>14</v>
      </c>
      <c r="F32" s="20">
        <v>1100</v>
      </c>
      <c r="G32" s="20">
        <v>1100</v>
      </c>
      <c r="H32" s="25">
        <v>460</v>
      </c>
      <c r="I32" s="26">
        <v>460</v>
      </c>
      <c r="J32" s="26">
        <v>460</v>
      </c>
      <c r="K32" s="20" t="s">
        <v>62</v>
      </c>
      <c r="L32" s="20" t="s">
        <v>62</v>
      </c>
      <c r="M32" s="20">
        <v>1100</v>
      </c>
      <c r="N32" s="31">
        <v>460</v>
      </c>
      <c r="O32" s="31">
        <v>460</v>
      </c>
      <c r="P32" s="6">
        <f t="shared" si="0"/>
        <v>1100</v>
      </c>
      <c r="Q32" s="6">
        <f t="shared" si="1"/>
        <v>460</v>
      </c>
    </row>
    <row r="33" spans="2:17" ht="32.25" customHeight="1" thickBot="1" x14ac:dyDescent="0.3">
      <c r="B33" s="8" t="s">
        <v>45</v>
      </c>
      <c r="C33" s="8" t="s">
        <v>44</v>
      </c>
      <c r="D33" s="8" t="s">
        <v>34</v>
      </c>
      <c r="E33" s="8" t="s">
        <v>34</v>
      </c>
      <c r="F33" s="20">
        <v>1100</v>
      </c>
      <c r="G33" s="20">
        <v>1100</v>
      </c>
      <c r="H33" s="25">
        <v>460</v>
      </c>
      <c r="I33" s="26">
        <v>460</v>
      </c>
      <c r="J33" s="26">
        <v>460</v>
      </c>
      <c r="K33" s="20" t="s">
        <v>62</v>
      </c>
      <c r="L33" s="20" t="s">
        <v>62</v>
      </c>
      <c r="M33" s="20">
        <v>1100</v>
      </c>
      <c r="N33" s="31">
        <v>460</v>
      </c>
      <c r="O33" s="31">
        <v>460</v>
      </c>
      <c r="P33" s="6">
        <f t="shared" si="0"/>
        <v>1100</v>
      </c>
      <c r="Q33" s="6">
        <f t="shared" si="1"/>
        <v>460</v>
      </c>
    </row>
    <row r="34" spans="2:17" x14ac:dyDescent="0.25">
      <c r="B34" t="s">
        <v>46</v>
      </c>
    </row>
    <row r="35" spans="2:17" ht="15.75" thickBot="1" x14ac:dyDescent="0.3">
      <c r="B35" s="12"/>
      <c r="C35" s="12"/>
    </row>
    <row r="36" spans="2:17" ht="15.75" thickBot="1" x14ac:dyDescent="0.3">
      <c r="B36" s="10" t="s">
        <v>47</v>
      </c>
      <c r="C36" s="10" t="s">
        <v>25</v>
      </c>
      <c r="D36" s="13"/>
      <c r="E36" s="13"/>
      <c r="F36" s="8">
        <v>1000</v>
      </c>
      <c r="G36" s="8">
        <v>1000</v>
      </c>
      <c r="H36" s="8">
        <v>1000</v>
      </c>
      <c r="I36" s="8">
        <v>1000</v>
      </c>
      <c r="J36" s="8">
        <v>1000</v>
      </c>
      <c r="K36" s="8">
        <v>1000</v>
      </c>
      <c r="L36" s="8">
        <v>1000</v>
      </c>
      <c r="M36" s="8">
        <v>1000</v>
      </c>
      <c r="N36" s="30"/>
      <c r="O36" s="30"/>
    </row>
    <row r="37" spans="2:17" ht="15.75" thickBot="1" x14ac:dyDescent="0.3">
      <c r="B37" s="10" t="s">
        <v>47</v>
      </c>
      <c r="C37" s="10" t="s">
        <v>25</v>
      </c>
      <c r="D37" s="13"/>
      <c r="E37" s="13"/>
      <c r="F37" s="8">
        <v>100</v>
      </c>
      <c r="G37" s="8">
        <v>100</v>
      </c>
      <c r="H37" s="8">
        <v>100</v>
      </c>
      <c r="I37" s="8">
        <v>100</v>
      </c>
      <c r="J37" s="8">
        <v>100</v>
      </c>
      <c r="K37" s="8">
        <v>100</v>
      </c>
      <c r="L37" s="8">
        <v>100</v>
      </c>
      <c r="M37" s="8">
        <v>100</v>
      </c>
      <c r="N37" s="30"/>
      <c r="O37" s="30"/>
    </row>
    <row r="38" spans="2:17" ht="24.75" thickBot="1" x14ac:dyDescent="0.3">
      <c r="B38" s="10" t="s">
        <v>48</v>
      </c>
      <c r="C38" s="10" t="s">
        <v>25</v>
      </c>
      <c r="D38" s="13"/>
      <c r="E38" s="13"/>
      <c r="F38" s="8">
        <v>0.2</v>
      </c>
      <c r="G38" s="8">
        <v>0.2</v>
      </c>
      <c r="H38" s="8">
        <v>0.2</v>
      </c>
      <c r="I38" s="8">
        <v>0.2</v>
      </c>
      <c r="J38" s="8">
        <v>0.2</v>
      </c>
      <c r="K38" s="8">
        <v>0.2</v>
      </c>
      <c r="L38" s="8">
        <v>0.2</v>
      </c>
      <c r="M38" s="8">
        <v>0.2</v>
      </c>
      <c r="N38" s="30"/>
      <c r="O38" s="30"/>
    </row>
    <row r="39" spans="2:17" ht="24.75" thickBot="1" x14ac:dyDescent="0.3">
      <c r="B39" s="10" t="s">
        <v>49</v>
      </c>
      <c r="C39" s="10" t="s">
        <v>25</v>
      </c>
      <c r="D39" s="13"/>
      <c r="E39" s="13"/>
      <c r="F39" s="8">
        <v>0.5</v>
      </c>
      <c r="G39" s="8">
        <v>0.5</v>
      </c>
      <c r="H39" s="8">
        <v>0.5</v>
      </c>
      <c r="I39" s="8">
        <v>0.5</v>
      </c>
      <c r="J39" s="8">
        <v>0.5</v>
      </c>
      <c r="K39" s="8">
        <v>0.5</v>
      </c>
      <c r="L39" s="8">
        <v>0.5</v>
      </c>
      <c r="M39" s="8">
        <v>0.5</v>
      </c>
      <c r="N39" s="30"/>
      <c r="O39" s="30"/>
    </row>
    <row r="40" spans="2:17" ht="24.75" thickBot="1" x14ac:dyDescent="0.3">
      <c r="B40" s="10" t="s">
        <v>48</v>
      </c>
      <c r="C40" s="10" t="s">
        <v>25</v>
      </c>
      <c r="D40" s="13"/>
      <c r="E40" s="13"/>
      <c r="F40" s="8">
        <v>500</v>
      </c>
      <c r="G40" s="8">
        <v>500</v>
      </c>
      <c r="H40" s="8">
        <v>500</v>
      </c>
      <c r="I40" s="8">
        <v>500</v>
      </c>
      <c r="J40" s="8">
        <v>500</v>
      </c>
      <c r="K40" s="8">
        <v>500</v>
      </c>
      <c r="L40" s="8">
        <v>500</v>
      </c>
      <c r="M40" s="8">
        <v>500</v>
      </c>
      <c r="N40" s="30"/>
      <c r="O40" s="30"/>
    </row>
    <row r="41" spans="2:17" ht="24.75" thickBot="1" x14ac:dyDescent="0.3">
      <c r="B41" s="10" t="s">
        <v>50</v>
      </c>
      <c r="C41" s="10" t="s">
        <v>25</v>
      </c>
      <c r="D41" s="13"/>
      <c r="E41" s="13"/>
      <c r="F41" s="8">
        <v>0.2</v>
      </c>
      <c r="G41" s="8">
        <v>0.2</v>
      </c>
      <c r="H41" s="8">
        <v>0.2</v>
      </c>
      <c r="I41" s="8">
        <v>0.2</v>
      </c>
      <c r="J41" s="8">
        <v>0.2</v>
      </c>
      <c r="K41" s="8">
        <v>0.2</v>
      </c>
      <c r="L41" s="8">
        <v>0.2</v>
      </c>
      <c r="M41" s="8">
        <v>0.2</v>
      </c>
      <c r="N41" s="30"/>
      <c r="O41" s="30"/>
    </row>
    <row r="42" spans="2:17" ht="24.75" thickBot="1" x14ac:dyDescent="0.3">
      <c r="B42" s="10" t="s">
        <v>50</v>
      </c>
      <c r="C42" s="10" t="s">
        <v>25</v>
      </c>
      <c r="D42" s="13"/>
      <c r="E42" s="13"/>
      <c r="F42" s="8">
        <v>10</v>
      </c>
      <c r="G42" s="8">
        <v>10</v>
      </c>
      <c r="H42" s="8">
        <v>10</v>
      </c>
      <c r="I42" s="8">
        <v>10</v>
      </c>
      <c r="J42" s="8">
        <v>10</v>
      </c>
      <c r="K42" s="8">
        <v>10</v>
      </c>
      <c r="L42" s="8">
        <v>10</v>
      </c>
      <c r="M42" s="8">
        <v>10</v>
      </c>
      <c r="N42" s="30"/>
      <c r="O42" s="30"/>
    </row>
    <row r="43" spans="2:17" ht="24.75" thickBot="1" x14ac:dyDescent="0.3">
      <c r="B43" s="10" t="s">
        <v>48</v>
      </c>
      <c r="C43" s="10" t="s">
        <v>25</v>
      </c>
      <c r="D43" s="13"/>
      <c r="E43" s="13"/>
      <c r="F43" s="8">
        <v>5</v>
      </c>
      <c r="G43" s="8">
        <v>5</v>
      </c>
      <c r="H43" s="8">
        <v>5</v>
      </c>
      <c r="I43" s="8">
        <v>5</v>
      </c>
      <c r="J43" s="8">
        <v>5</v>
      </c>
      <c r="K43" s="8">
        <v>5</v>
      </c>
      <c r="L43" s="8">
        <v>5</v>
      </c>
      <c r="M43" s="8">
        <v>5</v>
      </c>
      <c r="N43" s="30"/>
      <c r="O43" s="30"/>
    </row>
    <row r="44" spans="2:17" ht="24.75" thickBot="1" x14ac:dyDescent="0.3">
      <c r="B44" s="10" t="s">
        <v>48</v>
      </c>
      <c r="C44" s="10" t="s">
        <v>25</v>
      </c>
      <c r="D44" s="13"/>
      <c r="E44" s="13"/>
      <c r="F44" s="8">
        <v>0.1</v>
      </c>
      <c r="G44" s="8">
        <v>0.1</v>
      </c>
      <c r="H44" s="8">
        <v>0.1</v>
      </c>
      <c r="I44" s="8">
        <v>0.1</v>
      </c>
      <c r="J44" s="8">
        <v>0.1</v>
      </c>
      <c r="K44" s="8">
        <v>0.1</v>
      </c>
      <c r="L44" s="8">
        <v>0.1</v>
      </c>
      <c r="M44" s="8">
        <v>0.1</v>
      </c>
      <c r="N44" s="30"/>
      <c r="O44" s="30"/>
    </row>
    <row r="45" spans="2:17" ht="24.75" thickBot="1" x14ac:dyDescent="0.3">
      <c r="B45" s="10" t="s">
        <v>48</v>
      </c>
      <c r="C45" s="10" t="s">
        <v>25</v>
      </c>
      <c r="D45" s="13"/>
      <c r="E45" s="13"/>
      <c r="F45" s="8">
        <v>2</v>
      </c>
      <c r="G45" s="8">
        <v>2</v>
      </c>
      <c r="H45" s="8">
        <v>2</v>
      </c>
      <c r="I45" s="8">
        <v>2</v>
      </c>
      <c r="J45" s="8">
        <v>2</v>
      </c>
      <c r="K45" s="8">
        <v>2</v>
      </c>
      <c r="L45" s="8">
        <v>2</v>
      </c>
      <c r="M45" s="8">
        <v>2</v>
      </c>
      <c r="N45" s="30"/>
      <c r="O45" s="30"/>
    </row>
  </sheetData>
  <mergeCells count="8">
    <mergeCell ref="B15:M15"/>
    <mergeCell ref="B30:M30"/>
    <mergeCell ref="B4:M4"/>
    <mergeCell ref="B6:B7"/>
    <mergeCell ref="C6:C7"/>
    <mergeCell ref="D6:E6"/>
    <mergeCell ref="B9:M9"/>
    <mergeCell ref="F6:O6"/>
  </mergeCells>
  <pageMargins left="0.7" right="0.7" top="0.75" bottom="0.75" header="0.3" footer="0.3"/>
  <pageSetup paperSize="9" scale="3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MARZO 2026</vt:lpstr>
      <vt:lpstr>'MARZO 2026'!Área_de_impresión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 Frias Altamirano</dc:creator>
  <cp:lastModifiedBy>Sistema Gestion Regantes</cp:lastModifiedBy>
  <dcterms:created xsi:type="dcterms:W3CDTF">2025-04-04T15:00:47Z</dcterms:created>
  <dcterms:modified xsi:type="dcterms:W3CDTF">2026-08-25T17:56:42Z</dcterms:modified>
</cp:coreProperties>
</file>