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9915" windowWidth="29040" windowHeight="15840" tabRatio="856" firstSheet="0" activeTab="0" autoFilterDateGrouping="1"/>
  </bookViews>
  <sheets>
    <sheet xmlns:r="http://schemas.openxmlformats.org/officeDocument/2006/relationships" name="SUB. VIRÚ - 1°- 2026 " sheetId="1" state="visible" r:id="rId1"/>
    <sheet xmlns:r="http://schemas.openxmlformats.org/officeDocument/2006/relationships" name="1° MONITOREO VALLE CHICAMA-2024" sheetId="2" state="hidden" r:id="rId2"/>
    <sheet xmlns:r="http://schemas.openxmlformats.org/officeDocument/2006/relationships" name="SUB.VIRU- 1° 2024" sheetId="3" state="hidden" r:id="rId3"/>
    <sheet xmlns:r="http://schemas.openxmlformats.org/officeDocument/2006/relationships" name="SUB. CHAO - 1°- 2026" sheetId="4" state="visible" r:id="rId4"/>
    <sheet xmlns:r="http://schemas.openxmlformats.org/officeDocument/2006/relationships" name="SUB. MOCHE - 1°- 2026 " sheetId="5" state="visible" r:id="rId5"/>
    <sheet xmlns:r="http://schemas.openxmlformats.org/officeDocument/2006/relationships" name="SUB. CHICAMA - 1°- 2026 " sheetId="6" state="visible" r:id="rId6"/>
  </sheets>
  <definedNames>
    <definedName name="_xlnm.Print_Area" localSheetId="0">'SUB. VIRÚ - 1°- 2026 '!$A$1:$AF$94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_-* #,##0_-;\-* #,##0_-;_-* &quot;-&quot;??_-;_-@_-"/>
    <numFmt numFmtId="165" formatCode="0.0"/>
    <numFmt numFmtId="166" formatCode="_-* #,##0.0_-;\-* #,##0.0_-;_-* &quot;-&quot;??_-;_-@_-"/>
    <numFmt numFmtId="167" formatCode="_-* #,##0.00_-;\-* #,##0.00_-;_-* &quot;-&quot;??_-;_-@_-"/>
    <numFmt numFmtId="168" formatCode="_ * #,##0_ ;_ * \-#,##0_ ;_ * &quot;-&quot;??_ ;_ @_ "/>
    <numFmt numFmtId="169" formatCode="_ * #,##0.00_ ;_ * \-#,##0.00_ ;_ * &quot;-&quot;??_ ;_ @_ "/>
    <numFmt numFmtId="170" formatCode="_ * #,##0.0_ ;_ * \-#,##0.0_ ;_ * &quot;-&quot;??_ ;_ @_ 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rgb="FF000000"/>
      <sz val="9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5"/>
      <scheme val="minor"/>
    </font>
    <font>
      <name val="Calibri"/>
      <family val="2"/>
      <b val="1"/>
      <color rgb="FFFFFFFF"/>
      <sz val="9"/>
    </font>
    <font>
      <name val="Calibri"/>
      <family val="2"/>
      <b val="1"/>
      <color theme="0"/>
      <sz val="9"/>
    </font>
    <font>
      <name val="Calibri"/>
      <family val="2"/>
      <color theme="0"/>
      <sz val="5"/>
    </font>
    <font>
      <name val="Calibri"/>
      <family val="2"/>
      <color theme="0"/>
      <sz val="9"/>
    </font>
    <font>
      <name val="Calibri"/>
      <family val="2"/>
      <sz val="11"/>
      <scheme val="minor"/>
    </font>
    <font>
      <name val="Calibri"/>
      <family val="2"/>
      <color rgb="FFFF0000"/>
      <sz val="9"/>
    </font>
    <font>
      <name val="Calibri"/>
      <family val="2"/>
      <b val="1"/>
      <i val="1"/>
      <color theme="0"/>
      <sz val="9"/>
    </font>
    <font>
      <name val="Calibri"/>
      <family val="2"/>
      <color rgb="FF000000"/>
      <sz val="10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7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8"/>
      <scheme val="minor"/>
    </font>
    <font>
      <name val="Arial"/>
      <family val="2"/>
      <color rgb="FF000000"/>
      <sz val="9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theme="0"/>
      <sz val="14"/>
    </font>
    <font>
      <name val="Arial"/>
      <family val="2"/>
      <color rgb="FFFF0000"/>
      <sz val="11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b val="1"/>
      <color theme="0"/>
      <sz val="8"/>
    </font>
  </fonts>
  <fills count="13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34E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</fills>
  <borders count="76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theme="0"/>
      </left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0"/>
      </top>
      <bottom style="thin">
        <color rgb="FF000000"/>
      </bottom>
      <diagonal/>
    </border>
    <border>
      <left style="thin">
        <color rgb="FF000000"/>
      </left>
      <right/>
      <top style="medium">
        <color theme="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theme="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theme="0"/>
      </bottom>
      <diagonal/>
    </border>
    <border>
      <left/>
      <right style="thin">
        <color rgb="FF000000"/>
      </right>
      <top style="thin">
        <color rgb="FF00000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0"/>
      </bottom>
      <diagonal/>
    </border>
    <border>
      <left style="thin">
        <color rgb="FF000000"/>
      </left>
      <right/>
      <top style="thin">
        <color rgb="FF000000"/>
      </top>
      <bottom style="medium">
        <color theme="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medium">
        <color theme="0"/>
      </top>
      <bottom/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169" fontId="1" fillId="0" borderId="0"/>
    <xf numFmtId="43" fontId="1" fillId="0" borderId="0"/>
    <xf numFmtId="43" fontId="1" fillId="0" borderId="0"/>
  </cellStyleXfs>
  <cellXfs count="476">
    <xf numFmtId="0" fontId="0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3" borderId="1" applyAlignment="1" pivotButton="0" quotePrefix="1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center" vertical="center" wrapText="1"/>
    </xf>
    <xf numFmtId="0" fontId="8" fillId="8" borderId="6" applyAlignment="1" pivotButton="0" quotePrefix="0" xfId="0">
      <alignment horizontal="center" vertical="center" wrapText="1"/>
    </xf>
    <xf numFmtId="0" fontId="13" fillId="8" borderId="5" applyAlignment="1" pivotButton="0" quotePrefix="0" xfId="0">
      <alignment horizontal="center" vertical="center" wrapText="1"/>
    </xf>
    <xf numFmtId="0" fontId="8" fillId="8" borderId="10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3" fontId="8" fillId="8" borderId="2" applyAlignment="1" pivotButton="0" quotePrefix="0" xfId="0">
      <alignment horizontal="center" vertical="center" wrapText="1"/>
    </xf>
    <xf numFmtId="0" fontId="7" fillId="8" borderId="10" applyAlignment="1" pivotButton="0" quotePrefix="0" xfId="0">
      <alignment horizontal="center" vertical="center" wrapText="1"/>
    </xf>
    <xf numFmtId="3" fontId="8" fillId="9" borderId="11" applyAlignment="1" pivotButton="0" quotePrefix="0" xfId="0">
      <alignment horizontal="center" vertical="center" wrapText="1"/>
    </xf>
    <xf numFmtId="3" fontId="8" fillId="9" borderId="5" applyAlignment="1" pivotButton="0" quotePrefix="1" xfId="0">
      <alignment horizontal="center" vertical="center" wrapText="1"/>
    </xf>
    <xf numFmtId="0" fontId="8" fillId="9" borderId="5" applyAlignment="1" pivotButton="0" quotePrefix="1" xfId="0">
      <alignment horizontal="center" vertical="center" wrapText="1"/>
    </xf>
    <xf numFmtId="0" fontId="7" fillId="9" borderId="5" applyAlignment="1" pivotButton="0" quotePrefix="0" xfId="0">
      <alignment horizontal="center" vertical="center" wrapText="1"/>
    </xf>
    <xf numFmtId="3" fontId="7" fillId="9" borderId="5" applyAlignment="1" pivotButton="0" quotePrefix="0" xfId="0">
      <alignment horizontal="center" vertical="center" wrapText="1"/>
    </xf>
    <xf numFmtId="3" fontId="8" fillId="9" borderId="5" applyAlignment="1" pivotButton="0" quotePrefix="0" xfId="0">
      <alignment horizontal="center" vertical="center" wrapText="1"/>
    </xf>
    <xf numFmtId="0" fontId="8" fillId="9" borderId="5" applyAlignment="1" pivotButton="0" quotePrefix="0" xfId="0">
      <alignment horizontal="center" vertical="center" wrapText="1"/>
    </xf>
    <xf numFmtId="0" fontId="14" fillId="10" borderId="5" applyAlignment="1" pivotButton="0" quotePrefix="1" xfId="0">
      <alignment horizontal="center" vertical="center" wrapText="1"/>
    </xf>
    <xf numFmtId="0" fontId="17" fillId="0" borderId="0" applyAlignment="1" pivotButton="0" quotePrefix="1" xfId="0">
      <alignment horizontal="center" vertical="center"/>
    </xf>
    <xf numFmtId="0" fontId="0" fillId="7" borderId="15" applyAlignment="1" pivotButton="0" quotePrefix="0" xfId="0">
      <alignment horizontal="center" vertical="center"/>
    </xf>
    <xf numFmtId="0" fontId="0" fillId="7" borderId="16" applyAlignment="1" pivotButton="0" quotePrefix="0" xfId="0">
      <alignment horizontal="center" vertical="center"/>
    </xf>
    <xf numFmtId="0" fontId="0" fillId="10" borderId="0" applyAlignment="1" pivotButton="0" quotePrefix="1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4" fillId="11" borderId="5" applyAlignment="1" pivotButton="0" quotePrefix="0" xfId="0">
      <alignment horizontal="center" vertical="center"/>
    </xf>
    <xf numFmtId="0" fontId="4" fillId="11" borderId="19" applyAlignment="1" pivotButton="0" quotePrefix="0" xfId="0">
      <alignment horizontal="center" vertical="center"/>
    </xf>
    <xf numFmtId="0" fontId="4" fillId="11" borderId="15" applyAlignment="1" pivotButton="0" quotePrefix="0" xfId="0">
      <alignment horizontal="center" vertical="center"/>
    </xf>
    <xf numFmtId="0" fontId="4" fillId="11" borderId="17" applyAlignment="1" pivotButton="0" quotePrefix="0" xfId="0">
      <alignment horizontal="center" vertical="center"/>
    </xf>
    <xf numFmtId="0" fontId="4" fillId="11" borderId="18" applyAlignment="1" pivotButton="0" quotePrefix="0" xfId="0">
      <alignment horizontal="center" vertical="center"/>
    </xf>
    <xf numFmtId="0" fontId="4" fillId="11" borderId="5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164" fontId="4" fillId="11" borderId="5" applyAlignment="1" pivotButton="0" quotePrefix="0" xfId="2">
      <alignment horizontal="center" vertical="center"/>
    </xf>
    <xf numFmtId="3" fontId="4" fillId="11" borderId="5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12" applyAlignment="1" pivotButton="0" quotePrefix="0" xfId="0">
      <alignment horizontal="center" vertical="center"/>
    </xf>
    <xf numFmtId="0" fontId="4" fillId="11" borderId="29" applyAlignment="1" pivotButton="0" quotePrefix="0" xfId="0">
      <alignment horizontal="center" vertical="center"/>
    </xf>
    <xf numFmtId="0" fontId="4" fillId="11" borderId="30" applyAlignment="1" pivotButton="0" quotePrefix="0" xfId="0">
      <alignment horizontal="center" vertical="center"/>
    </xf>
    <xf numFmtId="0" fontId="4" fillId="11" borderId="31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 wrapText="1"/>
    </xf>
    <xf numFmtId="0" fontId="4" fillId="11" borderId="32" applyAlignment="1" pivotButton="0" quotePrefix="0" xfId="0">
      <alignment horizontal="center" vertical="center"/>
    </xf>
    <xf numFmtId="164" fontId="4" fillId="11" borderId="2" applyAlignment="1" pivotButton="0" quotePrefix="0" xfId="2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2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35" applyAlignment="1" pivotButton="0" quotePrefix="0" xfId="0">
      <alignment horizontal="center" vertical="center" wrapText="1"/>
    </xf>
    <xf numFmtId="1" fontId="0" fillId="4" borderId="36" applyAlignment="1" pivotButton="0" quotePrefix="0" xfId="0">
      <alignment horizontal="center" vertical="center" wrapText="1"/>
    </xf>
    <xf numFmtId="1" fontId="0" fillId="4" borderId="37" applyAlignment="1" pivotButton="0" quotePrefix="0" xfId="0">
      <alignment horizontal="center" vertical="center" wrapText="1"/>
    </xf>
    <xf numFmtId="0" fontId="0" fillId="4" borderId="38" applyAlignment="1" pivotButton="0" quotePrefix="0" xfId="0">
      <alignment horizontal="center" vertical="center" wrapText="1"/>
    </xf>
    <xf numFmtId="0" fontId="0" fillId="4" borderId="39" applyAlignment="1" pivotButton="0" quotePrefix="0" xfId="0">
      <alignment horizontal="center" vertical="center" wrapText="1"/>
    </xf>
    <xf numFmtId="0" fontId="0" fillId="4" borderId="40" applyAlignment="1" pivotButton="0" quotePrefix="0" xfId="0">
      <alignment horizontal="center" vertical="center" wrapText="1"/>
    </xf>
    <xf numFmtId="0" fontId="0" fillId="4" borderId="41" applyAlignment="1" pivotButton="0" quotePrefix="0" xfId="0">
      <alignment horizontal="center" vertical="center" wrapText="1"/>
    </xf>
    <xf numFmtId="0" fontId="0" fillId="4" borderId="42" applyAlignment="1" pivotButton="0" quotePrefix="0" xfId="0">
      <alignment horizontal="center" vertical="center" wrapText="1"/>
    </xf>
    <xf numFmtId="14" fontId="0" fillId="4" borderId="43" applyAlignment="1" pivotButton="0" quotePrefix="0" xfId="0">
      <alignment horizontal="center" vertical="center" wrapText="1"/>
    </xf>
    <xf numFmtId="164" fontId="0" fillId="4" borderId="35" applyAlignment="1" pivotButton="0" quotePrefix="0" xfId="2">
      <alignment horizontal="center" vertical="center" wrapText="1"/>
    </xf>
    <xf numFmtId="165" fontId="0" fillId="4" borderId="42" applyAlignment="1" pivotButton="0" quotePrefix="0" xfId="0">
      <alignment horizontal="center" vertical="center" wrapText="1"/>
    </xf>
    <xf numFmtId="1" fontId="0" fillId="4" borderId="35" applyAlignment="1" pivotButton="0" quotePrefix="0" xfId="0">
      <alignment horizontal="center" vertical="center" wrapText="1"/>
    </xf>
    <xf numFmtId="0" fontId="18" fillId="4" borderId="35" applyAlignment="1" pivotButton="0" quotePrefix="0" xfId="0">
      <alignment horizontal="center" vertical="center"/>
    </xf>
    <xf numFmtId="165" fontId="0" fillId="4" borderId="35" applyAlignment="1" pivotButton="0" quotePrefix="0" xfId="0">
      <alignment horizontal="center" vertical="center"/>
    </xf>
    <xf numFmtId="2" fontId="0" fillId="4" borderId="35" applyAlignment="1" pivotButton="0" quotePrefix="0" xfId="0">
      <alignment horizontal="center" vertical="center"/>
    </xf>
    <xf numFmtId="0" fontId="20" fillId="4" borderId="42" applyAlignment="1" pivotButton="0" quotePrefix="1" xfId="0">
      <alignment horizontal="center" vertical="center"/>
    </xf>
    <xf numFmtId="165" fontId="0" fillId="4" borderId="44" applyAlignment="1" pivotButton="0" quotePrefix="0" xfId="0">
      <alignment horizontal="center" vertical="center"/>
    </xf>
    <xf numFmtId="165" fontId="18" fillId="4" borderId="35" applyAlignment="1" pivotButton="0" quotePrefix="0" xfId="0">
      <alignment horizontal="center" vertical="center"/>
    </xf>
    <xf numFmtId="1" fontId="11" fillId="4" borderId="42" applyAlignment="1" pivotButton="0" quotePrefix="0" xfId="0">
      <alignment horizontal="center" vertical="center"/>
    </xf>
    <xf numFmtId="0" fontId="18" fillId="4" borderId="45" applyAlignment="1" pivotButton="0" quotePrefix="0" xfId="0">
      <alignment horizontal="center" vertical="center"/>
    </xf>
    <xf numFmtId="0" fontId="0" fillId="4" borderId="42" applyAlignment="1" pivotButton="0" quotePrefix="0" xfId="0">
      <alignment horizontal="center" vertical="center"/>
    </xf>
    <xf numFmtId="0" fontId="0" fillId="5" borderId="46" applyAlignment="1" pivotButton="0" quotePrefix="0" xfId="0">
      <alignment horizontal="center" vertical="center" wrapText="1"/>
    </xf>
    <xf numFmtId="1" fontId="0" fillId="5" borderId="47" applyAlignment="1" pivotButton="0" quotePrefix="0" xfId="0">
      <alignment horizontal="center" vertical="center" wrapText="1"/>
    </xf>
    <xf numFmtId="1" fontId="0" fillId="5" borderId="48" applyAlignment="1" pivotButton="0" quotePrefix="0" xfId="0">
      <alignment horizontal="center" vertical="center" wrapText="1"/>
    </xf>
    <xf numFmtId="0" fontId="0" fillId="5" borderId="49" applyAlignment="1" pivotButton="0" quotePrefix="0" xfId="0">
      <alignment horizontal="center" vertical="center" wrapText="1"/>
    </xf>
    <xf numFmtId="0" fontId="0" fillId="5" borderId="50" applyAlignment="1" pivotButton="0" quotePrefix="0" xfId="0">
      <alignment horizontal="center" vertical="center" wrapText="1"/>
    </xf>
    <xf numFmtId="0" fontId="0" fillId="5" borderId="51" applyAlignment="1" pivotButton="0" quotePrefix="0" xfId="0">
      <alignment horizontal="center" vertical="center" wrapText="1"/>
    </xf>
    <xf numFmtId="0" fontId="0" fillId="5" borderId="52" applyAlignment="1" pivotButton="0" quotePrefix="0" xfId="0">
      <alignment horizontal="center" vertical="center" wrapText="1"/>
    </xf>
    <xf numFmtId="0" fontId="0" fillId="5" borderId="53" applyAlignment="1" pivotButton="0" quotePrefix="0" xfId="0">
      <alignment horizontal="center" vertical="center" wrapText="1"/>
    </xf>
    <xf numFmtId="14" fontId="0" fillId="5" borderId="54" applyAlignment="1" pivotButton="0" quotePrefix="0" xfId="0">
      <alignment horizontal="center" vertical="center" wrapText="1"/>
    </xf>
    <xf numFmtId="164" fontId="18" fillId="5" borderId="46" applyAlignment="1" pivotButton="0" quotePrefix="0" xfId="2">
      <alignment horizontal="center" vertical="center" wrapText="1"/>
    </xf>
    <xf numFmtId="165" fontId="0" fillId="5" borderId="53" applyAlignment="1" pivotButton="0" quotePrefix="0" xfId="0">
      <alignment horizontal="center" vertical="center" wrapText="1"/>
    </xf>
    <xf numFmtId="164" fontId="0" fillId="5" borderId="46" applyAlignment="1" pivotButton="0" quotePrefix="0" xfId="2">
      <alignment horizontal="center" vertical="center" wrapText="1"/>
    </xf>
    <xf numFmtId="1" fontId="18" fillId="5" borderId="46" applyAlignment="1" pivotButton="0" quotePrefix="0" xfId="0">
      <alignment horizontal="center" vertical="center" wrapText="1"/>
    </xf>
    <xf numFmtId="0" fontId="0" fillId="5" borderId="46" applyAlignment="1" pivotButton="0" quotePrefix="0" xfId="0">
      <alignment horizontal="center" vertical="center"/>
    </xf>
    <xf numFmtId="165" fontId="0" fillId="5" borderId="46" applyAlignment="1" pivotButton="0" quotePrefix="0" xfId="0">
      <alignment horizontal="center" vertical="center"/>
    </xf>
    <xf numFmtId="2" fontId="0" fillId="5" borderId="46" applyAlignment="1" pivotButton="0" quotePrefix="0" xfId="0">
      <alignment horizontal="center" vertical="center"/>
    </xf>
    <xf numFmtId="0" fontId="20" fillId="5" borderId="53" applyAlignment="1" pivotButton="0" quotePrefix="1" xfId="0">
      <alignment horizontal="center" vertical="center"/>
    </xf>
    <xf numFmtId="165" fontId="0" fillId="5" borderId="18" applyAlignment="1" pivotButton="0" quotePrefix="0" xfId="0">
      <alignment horizontal="center" vertical="center"/>
    </xf>
    <xf numFmtId="165" fontId="18" fillId="5" borderId="46" applyAlignment="1" pivotButton="0" quotePrefix="0" xfId="0">
      <alignment horizontal="center" vertical="center"/>
    </xf>
    <xf numFmtId="1" fontId="11" fillId="5" borderId="53" applyAlignment="1" pivotButton="0" quotePrefix="0" xfId="0">
      <alignment horizontal="center" vertical="center"/>
    </xf>
    <xf numFmtId="0" fontId="0" fillId="5" borderId="55" applyAlignment="1" pivotButton="0" quotePrefix="0" xfId="0">
      <alignment horizontal="center" vertical="center"/>
    </xf>
    <xf numFmtId="0" fontId="0" fillId="5" borderId="53" applyAlignment="1" pivotButton="0" quotePrefix="0" xfId="0">
      <alignment horizontal="center" vertical="center"/>
    </xf>
    <xf numFmtId="0" fontId="18" fillId="5" borderId="46" applyAlignment="1" pivotButton="0" quotePrefix="0" xfId="0">
      <alignment horizontal="center" vertical="center"/>
    </xf>
    <xf numFmtId="1" fontId="18" fillId="5" borderId="53" applyAlignment="1" pivotButton="0" quotePrefix="0" xfId="0">
      <alignment horizontal="center" vertical="center"/>
    </xf>
    <xf numFmtId="1" fontId="0" fillId="5" borderId="46" applyAlignment="1" pivotButton="0" quotePrefix="0" xfId="0">
      <alignment horizontal="center" vertical="center" wrapText="1"/>
    </xf>
    <xf numFmtId="165" fontId="18" fillId="5" borderId="53" applyAlignment="1" pivotButton="0" quotePrefix="0" xfId="0">
      <alignment horizontal="center" vertical="center" wrapText="1"/>
    </xf>
    <xf numFmtId="0" fontId="11" fillId="5" borderId="46" applyAlignment="1" pivotButton="0" quotePrefix="0" xfId="0">
      <alignment horizontal="center" vertical="center"/>
    </xf>
    <xf numFmtId="2" fontId="18" fillId="5" borderId="46" applyAlignment="1" pivotButton="0" quotePrefix="0" xfId="0">
      <alignment horizontal="center" vertical="center"/>
    </xf>
    <xf numFmtId="0" fontId="0" fillId="4" borderId="46" applyAlignment="1" pivotButton="0" quotePrefix="0" xfId="0">
      <alignment horizontal="center" vertical="center" wrapText="1"/>
    </xf>
    <xf numFmtId="1" fontId="0" fillId="4" borderId="47" applyAlignment="1" pivotButton="0" quotePrefix="0" xfId="0">
      <alignment horizontal="center" vertical="center" wrapText="1"/>
    </xf>
    <xf numFmtId="1" fontId="0" fillId="4" borderId="48" applyAlignment="1" pivotButton="0" quotePrefix="0" xfId="0">
      <alignment horizontal="center" vertical="center" wrapText="1"/>
    </xf>
    <xf numFmtId="0" fontId="0" fillId="4" borderId="49" applyAlignment="1" pivotButton="0" quotePrefix="0" xfId="0">
      <alignment horizontal="center" vertical="center" wrapText="1"/>
    </xf>
    <xf numFmtId="0" fontId="0" fillId="4" borderId="50" applyAlignment="1" pivotButton="0" quotePrefix="0" xfId="0">
      <alignment horizontal="center" vertical="center" wrapText="1"/>
    </xf>
    <xf numFmtId="0" fontId="0" fillId="4" borderId="51" applyAlignment="1" pivotButton="0" quotePrefix="0" xfId="0">
      <alignment horizontal="center" vertical="center" wrapText="1"/>
    </xf>
    <xf numFmtId="0" fontId="0" fillId="4" borderId="52" applyAlignment="1" pivotButton="0" quotePrefix="0" xfId="0">
      <alignment horizontal="center" vertical="center" wrapText="1"/>
    </xf>
    <xf numFmtId="0" fontId="0" fillId="4" borderId="53" applyAlignment="1" pivotButton="0" quotePrefix="0" xfId="0">
      <alignment horizontal="center" vertical="center" wrapText="1"/>
    </xf>
    <xf numFmtId="14" fontId="0" fillId="4" borderId="54" applyAlignment="1" pivotButton="0" quotePrefix="0" xfId="0">
      <alignment horizontal="center" vertical="center" wrapText="1"/>
    </xf>
    <xf numFmtId="164" fontId="18" fillId="4" borderId="46" applyAlignment="1" pivotButton="0" quotePrefix="0" xfId="2">
      <alignment horizontal="center" vertical="center" wrapText="1"/>
    </xf>
    <xf numFmtId="165" fontId="0" fillId="4" borderId="53" applyAlignment="1" pivotButton="0" quotePrefix="0" xfId="0">
      <alignment horizontal="center" vertical="center" wrapText="1"/>
    </xf>
    <xf numFmtId="1" fontId="0" fillId="4" borderId="46" applyAlignment="1" pivotButton="0" quotePrefix="0" xfId="0">
      <alignment horizontal="center" vertical="center" wrapText="1"/>
    </xf>
    <xf numFmtId="0" fontId="18" fillId="4" borderId="46" applyAlignment="1" pivotButton="0" quotePrefix="0" xfId="0">
      <alignment horizontal="center" vertical="center"/>
    </xf>
    <xf numFmtId="165" fontId="0" fillId="4" borderId="46" applyAlignment="1" pivotButton="0" quotePrefix="0" xfId="0">
      <alignment horizontal="center" vertical="center"/>
    </xf>
    <xf numFmtId="2" fontId="0" fillId="4" borderId="46" applyAlignment="1" pivotButton="0" quotePrefix="0" xfId="0">
      <alignment horizontal="center" vertical="center"/>
    </xf>
    <xf numFmtId="0" fontId="20" fillId="4" borderId="53" applyAlignment="1" pivotButton="0" quotePrefix="1" xfId="0">
      <alignment horizontal="center" vertical="center"/>
    </xf>
    <xf numFmtId="165" fontId="0" fillId="4" borderId="18" applyAlignment="1" pivotButton="0" quotePrefix="0" xfId="0">
      <alignment horizontal="center" vertical="center"/>
    </xf>
    <xf numFmtId="165" fontId="18" fillId="4" borderId="46" applyAlignment="1" pivotButton="0" quotePrefix="0" xfId="0">
      <alignment horizontal="center" vertical="center"/>
    </xf>
    <xf numFmtId="1" fontId="18" fillId="4" borderId="53" applyAlignment="1" pivotButton="0" quotePrefix="0" xfId="0">
      <alignment horizontal="center" vertical="center"/>
    </xf>
    <xf numFmtId="0" fontId="18" fillId="4" borderId="55" applyAlignment="1" pivotButton="0" quotePrefix="0" xfId="0">
      <alignment horizontal="center" vertical="center"/>
    </xf>
    <xf numFmtId="0" fontId="0" fillId="4" borderId="53" applyAlignment="1" pivotButton="0" quotePrefix="0" xfId="0">
      <alignment horizontal="center" vertical="center"/>
    </xf>
    <xf numFmtId="164" fontId="0" fillId="4" borderId="46" applyAlignment="1" pivotButton="0" quotePrefix="0" xfId="2">
      <alignment horizontal="center" vertical="center" wrapText="1"/>
    </xf>
    <xf numFmtId="0" fontId="0" fillId="4" borderId="46" applyAlignment="1" pivotButton="0" quotePrefix="0" xfId="0">
      <alignment horizontal="center" vertical="center"/>
    </xf>
    <xf numFmtId="1" fontId="18" fillId="4" borderId="46" applyAlignment="1" pivotButton="0" quotePrefix="0" xfId="0">
      <alignment horizontal="center" vertical="center" wrapText="1"/>
    </xf>
    <xf numFmtId="164" fontId="11" fillId="4" borderId="46" applyAlignment="1" pivotButton="0" quotePrefix="0" xfId="2">
      <alignment horizontal="center" vertical="center" wrapText="1"/>
    </xf>
    <xf numFmtId="0" fontId="11" fillId="4" borderId="46" applyAlignment="1" pivotButton="0" quotePrefix="0" xfId="0">
      <alignment horizontal="center" vertical="center"/>
    </xf>
    <xf numFmtId="1" fontId="11" fillId="4" borderId="53" applyAlignment="1" pivotButton="0" quotePrefix="0" xfId="0">
      <alignment horizontal="center" vertical="center"/>
    </xf>
    <xf numFmtId="165" fontId="0" fillId="5" borderId="46" applyAlignment="1" pivotButton="0" quotePrefix="1" xfId="0">
      <alignment horizontal="center" vertical="center"/>
    </xf>
    <xf numFmtId="0" fontId="0" fillId="5" borderId="53" applyAlignment="1" pivotButton="0" quotePrefix="1" xfId="0">
      <alignment horizontal="center" vertical="center"/>
    </xf>
    <xf numFmtId="0" fontId="0" fillId="5" borderId="46" applyAlignment="1" pivotButton="0" quotePrefix="1" xfId="0">
      <alignment horizontal="center" vertical="center"/>
    </xf>
    <xf numFmtId="0" fontId="0" fillId="5" borderId="18" applyAlignment="1" pivotButton="0" quotePrefix="1" xfId="0">
      <alignment horizontal="center" vertical="center"/>
    </xf>
    <xf numFmtId="165" fontId="18" fillId="5" borderId="46" applyAlignment="1" pivotButton="0" quotePrefix="1" xfId="0">
      <alignment horizontal="center" vertical="center"/>
    </xf>
    <xf numFmtId="0" fontId="0" fillId="5" borderId="55" applyAlignment="1" pivotButton="0" quotePrefix="1" xfId="0">
      <alignment horizontal="center" vertical="center"/>
    </xf>
    <xf numFmtId="0" fontId="0" fillId="5" borderId="56" applyAlignment="1" pivotButton="0" quotePrefix="0" xfId="0">
      <alignment horizontal="center" vertical="center" wrapText="1"/>
    </xf>
    <xf numFmtId="1" fontId="0" fillId="4" borderId="17" applyAlignment="1" pivotButton="0" quotePrefix="0" xfId="0">
      <alignment horizontal="center" vertical="center" wrapText="1"/>
    </xf>
    <xf numFmtId="1" fontId="0" fillId="5" borderId="17" applyAlignment="1" pivotButton="0" quotePrefix="0" xfId="0">
      <alignment horizontal="center" vertical="center" wrapText="1"/>
    </xf>
    <xf numFmtId="1" fontId="0" fillId="5" borderId="53" applyAlignment="1" pivotButton="0" quotePrefix="0" xfId="0">
      <alignment horizontal="center" vertical="center"/>
    </xf>
    <xf numFmtId="1" fontId="0" fillId="4" borderId="53" applyAlignment="1" pivotButton="0" quotePrefix="0" xfId="0">
      <alignment horizontal="center" vertical="center"/>
    </xf>
    <xf numFmtId="165" fontId="0" fillId="5" borderId="46" applyAlignment="1" pivotButton="0" quotePrefix="0" xfId="0">
      <alignment horizontal="center" vertical="center" wrapText="1"/>
    </xf>
    <xf numFmtId="0" fontId="21" fillId="5" borderId="53" applyAlignment="1" pivotButton="0" quotePrefix="1" xfId="0">
      <alignment horizontal="center" vertical="center"/>
    </xf>
    <xf numFmtId="0" fontId="21" fillId="5" borderId="46" applyAlignment="1" pivotButton="0" quotePrefix="1" xfId="0">
      <alignment horizontal="center" vertical="center"/>
    </xf>
    <xf numFmtId="2" fontId="18" fillId="4" borderId="46" applyAlignment="1" pivotButton="0" quotePrefix="0" xfId="0">
      <alignment horizontal="center" vertical="center"/>
    </xf>
    <xf numFmtId="165" fontId="0" fillId="5" borderId="53" applyAlignment="1" pivotButton="0" quotePrefix="1" xfId="0">
      <alignment horizontal="center" vertical="center" wrapText="1"/>
    </xf>
    <xf numFmtId="0" fontId="20" fillId="5" borderId="46" applyAlignment="1" pivotButton="0" quotePrefix="1" xfId="0">
      <alignment horizontal="center" vertical="center"/>
    </xf>
    <xf numFmtId="165" fontId="20" fillId="5" borderId="46" applyAlignment="1" pivotButton="0" quotePrefix="1" xfId="0">
      <alignment horizontal="center" vertical="center"/>
    </xf>
    <xf numFmtId="0" fontId="21" fillId="5" borderId="18" applyAlignment="1" pivotButton="0" quotePrefix="1" xfId="0">
      <alignment horizontal="center" vertical="center"/>
    </xf>
    <xf numFmtId="0" fontId="21" fillId="5" borderId="55" applyAlignment="1" pivotButton="0" quotePrefix="1" xfId="0">
      <alignment horizontal="center" vertical="center"/>
    </xf>
    <xf numFmtId="0" fontId="18" fillId="4" borderId="53" applyAlignment="1" pivotButton="0" quotePrefix="0" xfId="0">
      <alignment horizontal="center" vertical="center"/>
    </xf>
    <xf numFmtId="14" fontId="0" fillId="5" borderId="57" applyAlignment="1" pivotButton="0" quotePrefix="0" xfId="0">
      <alignment horizontal="center" vertical="center" wrapText="1"/>
    </xf>
    <xf numFmtId="0" fontId="0" fillId="5" borderId="58" applyAlignment="1" pivotButton="0" quotePrefix="0" xfId="0">
      <alignment horizontal="center" vertical="center" wrapText="1"/>
    </xf>
    <xf numFmtId="0" fontId="0" fillId="5" borderId="59" applyAlignment="1" pivotButton="0" quotePrefix="0" xfId="0">
      <alignment horizontal="center" vertical="center" wrapText="1"/>
    </xf>
    <xf numFmtId="0" fontId="0" fillId="5" borderId="60" applyAlignment="1" pivotButton="0" quotePrefix="0" xfId="0">
      <alignment horizontal="center" vertical="center" wrapText="1"/>
    </xf>
    <xf numFmtId="14" fontId="0" fillId="0" borderId="61" applyAlignment="1" pivotButton="0" quotePrefix="0" xfId="0">
      <alignment horizontal="center" vertical="center" wrapText="1"/>
    </xf>
    <xf numFmtId="0" fontId="0" fillId="0" borderId="62" applyAlignment="1" pivotButton="0" quotePrefix="0" xfId="0">
      <alignment horizontal="center" vertical="center" wrapText="1"/>
    </xf>
    <xf numFmtId="0" fontId="0" fillId="0" borderId="63" applyAlignment="1" pivotButton="0" quotePrefix="0" xfId="0">
      <alignment horizontal="center" vertical="center" wrapText="1"/>
    </xf>
    <xf numFmtId="0" fontId="0" fillId="0" borderId="64" applyAlignment="1" pivotButton="0" quotePrefix="0" xfId="0">
      <alignment horizontal="center" vertical="center" wrapText="1"/>
    </xf>
    <xf numFmtId="165" fontId="0" fillId="4" borderId="46" applyAlignment="1" pivotButton="0" quotePrefix="0" xfId="0">
      <alignment horizontal="center" vertical="center" wrapText="1"/>
    </xf>
    <xf numFmtId="0" fontId="0" fillId="4" borderId="18" applyAlignment="1" pivotButton="0" quotePrefix="0" xfId="0">
      <alignment horizontal="center" vertical="center"/>
    </xf>
    <xf numFmtId="2" fontId="11" fillId="4" borderId="46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14" fontId="0" fillId="0" borderId="54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1" fontId="21" fillId="5" borderId="46" applyAlignment="1" pivotButton="0" quotePrefix="0" xfId="0">
      <alignment horizontal="center" vertical="center" wrapText="1"/>
    </xf>
    <xf numFmtId="1" fontId="21" fillId="5" borderId="53" applyAlignment="1" pivotButton="0" quotePrefix="0" xfId="0">
      <alignment horizontal="center" vertical="center" wrapText="1"/>
    </xf>
    <xf numFmtId="165" fontId="21" fillId="5" borderId="46" applyAlignment="1" pivotButton="0" quotePrefix="0" xfId="0">
      <alignment horizontal="center" vertical="center" wrapText="1"/>
    </xf>
    <xf numFmtId="1" fontId="20" fillId="5" borderId="53" applyAlignment="1" pivotButton="0" quotePrefix="0" xfId="0">
      <alignment horizontal="center" vertical="center" wrapText="1"/>
    </xf>
    <xf numFmtId="1" fontId="21" fillId="5" borderId="18" applyAlignment="1" pivotButton="0" quotePrefix="0" xfId="0">
      <alignment horizontal="center" vertical="center" wrapText="1"/>
    </xf>
    <xf numFmtId="1" fontId="21" fillId="5" borderId="55" applyAlignment="1" pivotButton="0" quotePrefix="0" xfId="0">
      <alignment horizontal="center" vertical="center" wrapText="1"/>
    </xf>
    <xf numFmtId="1" fontId="0" fillId="5" borderId="46" applyAlignment="1" pivotButton="0" quotePrefix="1" xfId="0">
      <alignment horizontal="center" vertical="center"/>
    </xf>
    <xf numFmtId="0" fontId="18" fillId="4" borderId="15" applyAlignment="1" pivotButton="0" quotePrefix="0" xfId="0">
      <alignment horizontal="center" vertical="center"/>
    </xf>
    <xf numFmtId="1" fontId="0" fillId="5" borderId="66" applyAlignment="1" pivotButton="0" quotePrefix="0" xfId="0">
      <alignment horizontal="center" vertical="center" wrapText="1"/>
    </xf>
    <xf numFmtId="1" fontId="0" fillId="5" borderId="67" applyAlignment="1" pivotButton="0" quotePrefix="0" xfId="0">
      <alignment horizontal="center" vertical="center" wrapText="1"/>
    </xf>
    <xf numFmtId="0" fontId="0" fillId="5" borderId="68" applyAlignment="1" pivotButton="0" quotePrefix="0" xfId="0">
      <alignment horizontal="center" vertical="center" wrapText="1"/>
    </xf>
    <xf numFmtId="0" fontId="0" fillId="5" borderId="65" applyAlignment="1" pivotButton="0" quotePrefix="0" xfId="0">
      <alignment horizontal="center" vertical="center" wrapText="1"/>
    </xf>
    <xf numFmtId="164" fontId="0" fillId="5" borderId="65" applyAlignment="1" pivotButton="0" quotePrefix="0" xfId="2">
      <alignment horizontal="center" vertical="center" wrapText="1"/>
    </xf>
    <xf numFmtId="165" fontId="0" fillId="5" borderId="68" applyAlignment="1" pivotButton="0" quotePrefix="0" xfId="0">
      <alignment horizontal="center" vertical="center" wrapText="1"/>
    </xf>
    <xf numFmtId="164" fontId="18" fillId="5" borderId="65" applyAlignment="1" pivotButton="0" quotePrefix="0" xfId="2">
      <alignment horizontal="center" vertical="center" wrapText="1"/>
    </xf>
    <xf numFmtId="1" fontId="0" fillId="5" borderId="65" applyAlignment="1" pivotButton="0" quotePrefix="0" xfId="0">
      <alignment horizontal="center" vertical="center" wrapText="1"/>
    </xf>
    <xf numFmtId="0" fontId="0" fillId="5" borderId="65" applyAlignment="1" pivotButton="0" quotePrefix="0" xfId="0">
      <alignment horizontal="center" vertical="center"/>
    </xf>
    <xf numFmtId="165" fontId="0" fillId="5" borderId="65" applyAlignment="1" pivotButton="0" quotePrefix="0" xfId="0">
      <alignment horizontal="center" vertical="center"/>
    </xf>
    <xf numFmtId="2" fontId="0" fillId="5" borderId="65" applyAlignment="1" pivotButton="0" quotePrefix="0" xfId="0">
      <alignment horizontal="center" vertical="center"/>
    </xf>
    <xf numFmtId="0" fontId="20" fillId="5" borderId="68" applyAlignment="1" pivotButton="0" quotePrefix="1" xfId="0">
      <alignment horizontal="center" vertical="center"/>
    </xf>
    <xf numFmtId="165" fontId="0" fillId="5" borderId="69" applyAlignment="1" pivotButton="0" quotePrefix="0" xfId="0">
      <alignment horizontal="center" vertical="center"/>
    </xf>
    <xf numFmtId="1" fontId="0" fillId="5" borderId="68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1" xfId="0">
      <alignment vertical="center"/>
    </xf>
    <xf numFmtId="0" fontId="14" fillId="12" borderId="5" applyAlignment="1" pivotButton="0" quotePrefix="1" xfId="0">
      <alignment horizontal="center" vertical="center" wrapText="1"/>
    </xf>
    <xf numFmtId="0" fontId="15" fillId="12" borderId="0" applyAlignment="1" pivotButton="0" quotePrefix="1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164" fontId="16" fillId="12" borderId="5" applyAlignment="1" pivotButton="0" quotePrefix="0" xfId="2">
      <alignment horizontal="center" vertical="center"/>
    </xf>
    <xf numFmtId="0" fontId="14" fillId="12" borderId="6" applyAlignment="1" pivotButton="0" quotePrefix="1" xfId="0">
      <alignment horizontal="center" vertical="center" wrapText="1"/>
    </xf>
    <xf numFmtId="0" fontId="15" fillId="12" borderId="5" applyAlignment="1" pivotButton="0" quotePrefix="1" xfId="0">
      <alignment horizontal="center" vertical="center"/>
    </xf>
    <xf numFmtId="3" fontId="8" fillId="9" borderId="12" applyAlignment="1" pivotButton="0" quotePrefix="1" xfId="0">
      <alignment horizontal="center" vertical="center" wrapText="1"/>
    </xf>
    <xf numFmtId="0" fontId="17" fillId="12" borderId="5" applyAlignment="1" pivotButton="0" quotePrefix="1" xfId="0">
      <alignment horizontal="center" vertical="center"/>
    </xf>
    <xf numFmtId="0" fontId="15" fillId="12" borderId="6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23" fillId="12" borderId="5" applyAlignment="1" pivotButton="0" quotePrefix="0" xfId="2">
      <alignment horizontal="center" vertical="center"/>
    </xf>
    <xf numFmtId="0" fontId="5" fillId="7" borderId="0" applyAlignment="1" pivotButton="0" quotePrefix="0" xfId="0">
      <alignment horizontal="center" vertical="center"/>
    </xf>
    <xf numFmtId="168" fontId="5" fillId="0" borderId="0" applyAlignment="1" pivotButton="0" quotePrefix="0" xfId="1">
      <alignment horizontal="center" vertical="center"/>
    </xf>
    <xf numFmtId="169" fontId="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5" fillId="7" borderId="0" applyAlignment="1" pivotButton="0" quotePrefix="0" xfId="0">
      <alignment horizontal="center" vertical="center"/>
    </xf>
    <xf numFmtId="2" fontId="25" fillId="7" borderId="0" applyAlignment="1" pivotButton="0" quotePrefix="0" xfId="0">
      <alignment horizontal="center" vertical="center"/>
    </xf>
    <xf numFmtId="1" fontId="25" fillId="7" borderId="0" applyAlignment="1" pivotButton="0" quotePrefix="0" xfId="0">
      <alignment horizontal="center" vertical="center"/>
    </xf>
    <xf numFmtId="0" fontId="23" fillId="12" borderId="5" applyAlignment="1" pivotButton="0" quotePrefix="1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27" fillId="5" borderId="5" applyAlignment="1" pivotButton="0" quotePrefix="1" xfId="0">
      <alignment horizontal="center" vertical="center" wrapText="1"/>
    </xf>
    <xf numFmtId="1" fontId="28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3" fillId="3" borderId="2" applyAlignment="1" pivotButton="0" quotePrefix="0" xfId="0">
      <alignment horizontal="center" vertical="center" wrapText="1"/>
    </xf>
    <xf numFmtId="0" fontId="33" fillId="3" borderId="3" applyAlignment="1" pivotButton="0" quotePrefix="0" xfId="0">
      <alignment horizontal="center" vertical="center" wrapText="1"/>
    </xf>
    <xf numFmtId="0" fontId="29" fillId="3" borderId="2" applyAlignment="1" pivotButton="0" quotePrefix="0" xfId="0">
      <alignment horizontal="center" vertical="center" wrapText="1"/>
    </xf>
    <xf numFmtId="0" fontId="29" fillId="3" borderId="3" applyAlignment="1" pivotButton="0" quotePrefix="0" xfId="0">
      <alignment horizontal="center" vertical="center" wrapText="1"/>
    </xf>
    <xf numFmtId="0" fontId="29" fillId="3" borderId="5" applyAlignment="1" pivotButton="0" quotePrefix="0" xfId="0">
      <alignment horizontal="center" vertical="center" wrapText="1"/>
    </xf>
    <xf numFmtId="0" fontId="29" fillId="3" borderId="9" applyAlignment="1" pivotButton="0" quotePrefix="0" xfId="0">
      <alignment horizontal="center" vertical="center" wrapText="1"/>
    </xf>
    <xf numFmtId="0" fontId="29" fillId="3" borderId="10" applyAlignment="1" pivotButton="0" quotePrefix="0" xfId="0">
      <alignment horizontal="center" vertical="center" wrapText="1"/>
    </xf>
    <xf numFmtId="0" fontId="33" fillId="3" borderId="5" applyAlignment="1" pivotButton="0" quotePrefix="0" xfId="0">
      <alignment horizontal="center" vertical="center" wrapText="1"/>
    </xf>
    <xf numFmtId="0" fontId="29" fillId="3" borderId="2" applyAlignment="1" pivotButton="0" quotePrefix="1" xfId="0">
      <alignment horizontal="center" vertical="center" wrapText="1"/>
    </xf>
    <xf numFmtId="0" fontId="35" fillId="5" borderId="9" applyAlignment="1" pivotButton="0" quotePrefix="1" xfId="0">
      <alignment horizontal="center" vertical="center" wrapText="1"/>
    </xf>
    <xf numFmtId="165" fontId="35" fillId="5" borderId="5" applyAlignment="1" pivotButton="0" quotePrefix="0" xfId="0">
      <alignment horizontal="center" vertical="center" wrapText="1"/>
    </xf>
    <xf numFmtId="0" fontId="35" fillId="5" borderId="5" applyAlignment="1" pivotButton="0" quotePrefix="0" xfId="0">
      <alignment horizontal="center" vertical="center" wrapText="1"/>
    </xf>
    <xf numFmtId="0" fontId="31" fillId="5" borderId="5" applyAlignment="1" pivotButton="0" quotePrefix="0" xfId="0">
      <alignment horizontal="center" vertical="center" wrapText="1"/>
    </xf>
    <xf numFmtId="165" fontId="31" fillId="5" borderId="5" applyAlignment="1" pivotButton="0" quotePrefix="0" xfId="0">
      <alignment horizontal="center" vertical="center" wrapText="1"/>
    </xf>
    <xf numFmtId="0" fontId="35" fillId="5" borderId="5" applyAlignment="1" pivotButton="0" quotePrefix="1" xfId="0">
      <alignment horizontal="center" vertical="center" wrapText="1"/>
    </xf>
    <xf numFmtId="0" fontId="31" fillId="5" borderId="5" applyAlignment="1" pivotButton="0" quotePrefix="1" xfId="0">
      <alignment horizontal="center" vertical="center" wrapText="1"/>
    </xf>
    <xf numFmtId="165" fontId="35" fillId="5" borderId="2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168" fontId="36" fillId="0" borderId="0" applyAlignment="1" pivotButton="0" quotePrefix="1" xfId="0">
      <alignment horizontal="center" vertical="center" wrapText="1"/>
    </xf>
    <xf numFmtId="0" fontId="36" fillId="0" borderId="0" applyAlignment="1" pivotButton="0" quotePrefix="1" xfId="0">
      <alignment horizontal="center" vertical="center" wrapText="1"/>
    </xf>
    <xf numFmtId="0" fontId="36" fillId="6" borderId="5" applyAlignment="1" pivotButton="0" quotePrefix="1" xfId="0">
      <alignment horizontal="center" vertical="center" wrapText="1"/>
    </xf>
    <xf numFmtId="0" fontId="30" fillId="6" borderId="5" applyAlignment="1" pivotButton="0" quotePrefix="0" xfId="0">
      <alignment horizontal="center" vertical="center" wrapText="1"/>
    </xf>
    <xf numFmtId="165" fontId="31" fillId="5" borderId="2" applyAlignment="1" pivotButton="0" quotePrefix="0" xfId="0">
      <alignment horizontal="center" vertical="center" wrapText="1"/>
    </xf>
    <xf numFmtId="1" fontId="35" fillId="5" borderId="5" applyAlignment="1" pivotButton="0" quotePrefix="0" xfId="0">
      <alignment horizontal="center" vertical="center" wrapText="1"/>
    </xf>
    <xf numFmtId="1" fontId="31" fillId="5" borderId="5" applyAlignment="1" pivotButton="0" quotePrefix="0" xfId="0">
      <alignment horizontal="center" vertical="center" wrapText="1"/>
    </xf>
    <xf numFmtId="2" fontId="35" fillId="5" borderId="5" applyAlignment="1" pivotButton="0" quotePrefix="0" xfId="0">
      <alignment horizontal="center" vertical="center" wrapText="1"/>
    </xf>
    <xf numFmtId="168" fontId="31" fillId="5" borderId="5" applyAlignment="1" pivotButton="0" quotePrefix="0" xfId="0">
      <alignment horizontal="center" vertical="center" wrapText="1"/>
    </xf>
    <xf numFmtId="2" fontId="31" fillId="5" borderId="5" applyAlignment="1" pivotButton="0" quotePrefix="0" xfId="0">
      <alignment horizontal="center" vertical="center" wrapText="1"/>
    </xf>
    <xf numFmtId="168" fontId="31" fillId="5" borderId="5" applyAlignment="1" pivotButton="0" quotePrefix="0" xfId="1">
      <alignment horizontal="center" vertical="center" wrapText="1"/>
    </xf>
    <xf numFmtId="168" fontId="31" fillId="5" borderId="2" applyAlignment="1" pivotButton="0" quotePrefix="0" xfId="1">
      <alignment horizontal="center" vertical="center" wrapText="1"/>
    </xf>
    <xf numFmtId="0" fontId="28" fillId="5" borderId="5" applyAlignment="1" pivotButton="0" quotePrefix="1" xfId="0">
      <alignment horizontal="center" vertical="center" wrapText="1"/>
    </xf>
    <xf numFmtId="2" fontId="31" fillId="5" borderId="5" applyAlignment="1" pivotButton="0" quotePrefix="1" xfId="0">
      <alignment horizontal="center" vertical="center" wrapText="1"/>
    </xf>
    <xf numFmtId="1" fontId="31" fillId="5" borderId="5" applyAlignment="1" pivotButton="0" quotePrefix="1" xfId="0">
      <alignment horizontal="center" vertical="center" wrapText="1"/>
    </xf>
    <xf numFmtId="168" fontId="38" fillId="5" borderId="5" applyAlignment="1" pivotButton="0" quotePrefix="0" xfId="1">
      <alignment horizontal="center" vertical="center" wrapText="1"/>
    </xf>
    <xf numFmtId="165" fontId="38" fillId="5" borderId="5" applyAlignment="1" pivotButton="0" quotePrefix="0" xfId="0">
      <alignment horizontal="center" vertical="center" wrapText="1"/>
    </xf>
    <xf numFmtId="0" fontId="38" fillId="5" borderId="5" applyAlignment="1" pivotButton="0" quotePrefix="0" xfId="0">
      <alignment horizontal="center" vertical="center" wrapText="1"/>
    </xf>
    <xf numFmtId="0" fontId="29" fillId="3" borderId="5" applyAlignment="1" pivotButton="0" quotePrefix="1" xfId="0">
      <alignment horizontal="center" vertical="center" wrapText="1"/>
    </xf>
    <xf numFmtId="3" fontId="29" fillId="3" borderId="5" applyAlignment="1" pivotButton="0" quotePrefix="1" xfId="0">
      <alignment horizontal="center" vertical="center" wrapText="1"/>
    </xf>
    <xf numFmtId="3" fontId="29" fillId="3" borderId="2" applyAlignment="1" pivotButton="0" quotePrefix="0" xfId="0">
      <alignment horizontal="center" vertical="center" wrapText="1"/>
    </xf>
    <xf numFmtId="3" fontId="29" fillId="3" borderId="2" applyAlignment="1" pivotButton="0" quotePrefix="1" xfId="0">
      <alignment horizontal="center" vertical="center" wrapText="1"/>
    </xf>
    <xf numFmtId="0" fontId="39" fillId="3" borderId="5" applyAlignment="1" pivotButton="0" quotePrefix="0" xfId="0">
      <alignment horizontal="center" vertical="center" wrapText="1"/>
    </xf>
    <xf numFmtId="0" fontId="38" fillId="5" borderId="5" applyAlignment="1" pivotButton="0" quotePrefix="1" xfId="0">
      <alignment horizontal="center" vertical="center" wrapText="1"/>
    </xf>
    <xf numFmtId="0" fontId="35" fillId="6" borderId="5" applyAlignment="1" pivotButton="0" quotePrefix="1" xfId="0">
      <alignment horizontal="center" vertical="center" wrapText="1"/>
    </xf>
    <xf numFmtId="0" fontId="27" fillId="6" borderId="5" applyAlignment="1" pivotButton="0" quotePrefix="1" xfId="0">
      <alignment horizontal="center" vertical="center" wrapText="1"/>
    </xf>
    <xf numFmtId="168" fontId="31" fillId="6" borderId="5" applyAlignment="1" pivotButton="0" quotePrefix="0" xfId="1">
      <alignment horizontal="center" vertical="center" wrapText="1"/>
    </xf>
    <xf numFmtId="165" fontId="31" fillId="6" borderId="5" applyAlignment="1" pivotButton="0" quotePrefix="0" xfId="0">
      <alignment horizontal="center" vertical="center" wrapText="1"/>
    </xf>
    <xf numFmtId="168" fontId="31" fillId="6" borderId="5" applyAlignment="1" pivotButton="0" quotePrefix="0" xfId="0">
      <alignment horizontal="center" vertical="center" wrapText="1"/>
    </xf>
    <xf numFmtId="165" fontId="35" fillId="6" borderId="5" applyAlignment="1" pivotButton="0" quotePrefix="0" xfId="0">
      <alignment horizontal="center" vertical="center" wrapText="1"/>
    </xf>
    <xf numFmtId="1" fontId="31" fillId="6" borderId="5" applyAlignment="1" pivotButton="0" quotePrefix="0" xfId="0">
      <alignment horizontal="center" vertical="center" wrapText="1"/>
    </xf>
    <xf numFmtId="1" fontId="35" fillId="6" borderId="5" applyAlignment="1" pivotButton="0" quotePrefix="0" xfId="0">
      <alignment horizontal="center" vertical="center" wrapText="1"/>
    </xf>
    <xf numFmtId="165" fontId="38" fillId="6" borderId="5" applyAlignment="1" pivotButton="0" quotePrefix="0" xfId="0">
      <alignment horizontal="center" vertical="center" wrapText="1"/>
    </xf>
    <xf numFmtId="2" fontId="31" fillId="6" borderId="5" applyAlignment="1" pivotButton="0" quotePrefix="0" xfId="0">
      <alignment horizontal="center" vertical="center" wrapText="1"/>
    </xf>
    <xf numFmtId="0" fontId="35" fillId="6" borderId="5" applyAlignment="1" pivotButton="0" quotePrefix="0" xfId="0">
      <alignment horizontal="center" vertical="center" wrapText="1"/>
    </xf>
    <xf numFmtId="2" fontId="31" fillId="6" borderId="5" applyAlignment="1" pivotButton="0" quotePrefix="1" xfId="0">
      <alignment horizontal="center" vertical="center" wrapText="1"/>
    </xf>
    <xf numFmtId="2" fontId="35" fillId="6" borderId="5" applyAlignment="1" pivotButton="0" quotePrefix="0" xfId="0">
      <alignment horizontal="center" vertical="center" wrapText="1"/>
    </xf>
    <xf numFmtId="1" fontId="31" fillId="6" borderId="5" applyAlignment="1" pivotButton="0" quotePrefix="1" xfId="0">
      <alignment horizontal="center" vertical="center" wrapText="1"/>
    </xf>
    <xf numFmtId="0" fontId="31" fillId="6" borderId="5" applyAlignment="1" pivotButton="0" quotePrefix="1" xfId="0">
      <alignment horizontal="center" vertical="center" wrapText="1"/>
    </xf>
    <xf numFmtId="0" fontId="38" fillId="6" borderId="5" applyAlignment="1" pivotButton="0" quotePrefix="1" xfId="0">
      <alignment horizontal="center" vertical="center" wrapText="1"/>
    </xf>
    <xf numFmtId="0" fontId="28" fillId="6" borderId="5" applyAlignment="1" pivotButton="0" quotePrefix="1" xfId="0">
      <alignment horizontal="center" vertical="center" wrapText="1"/>
    </xf>
    <xf numFmtId="168" fontId="38" fillId="6" borderId="5" applyAlignment="1" pivotButton="0" quotePrefix="0" xfId="1">
      <alignment horizontal="center" vertical="center" wrapText="1"/>
    </xf>
    <xf numFmtId="0" fontId="38" fillId="6" borderId="5" applyAlignment="1" pivotButton="0" quotePrefix="0" xfId="0">
      <alignment horizontal="center" vertical="center" wrapText="1"/>
    </xf>
    <xf numFmtId="168" fontId="31" fillId="6" borderId="5" applyAlignment="1" pivotButton="0" quotePrefix="1" xfId="1">
      <alignment horizontal="center" vertical="center" wrapText="1"/>
    </xf>
    <xf numFmtId="165" fontId="31" fillId="6" borderId="5" applyAlignment="1" pivotButton="0" quotePrefix="1" xfId="1">
      <alignment horizontal="center" vertical="center" wrapText="1"/>
    </xf>
    <xf numFmtId="168" fontId="31" fillId="6" borderId="2" applyAlignment="1" pivotButton="0" quotePrefix="0" xfId="1">
      <alignment horizontal="center" vertical="center" wrapText="1"/>
    </xf>
    <xf numFmtId="165" fontId="35" fillId="6" borderId="2" applyAlignment="1" pivotButton="0" quotePrefix="0" xfId="0">
      <alignment horizontal="center" vertical="center" wrapText="1"/>
    </xf>
    <xf numFmtId="165" fontId="31" fillId="6" borderId="2" applyAlignment="1" pivotButton="0" quotePrefix="0" xfId="0">
      <alignment horizontal="center" vertical="center" wrapText="1"/>
    </xf>
    <xf numFmtId="0" fontId="31" fillId="6" borderId="5" applyAlignment="1" pivotButton="0" quotePrefix="0" xfId="0">
      <alignment horizontal="center" vertical="center" wrapText="1"/>
    </xf>
    <xf numFmtId="168" fontId="38" fillId="5" borderId="2" applyAlignment="1" pivotButton="0" quotePrefix="0" xfId="1">
      <alignment horizontal="center" vertical="center" wrapText="1"/>
    </xf>
    <xf numFmtId="0" fontId="35" fillId="6" borderId="9" applyAlignment="1" pivotButton="0" quotePrefix="1" xfId="0">
      <alignment horizontal="center" vertical="center" wrapText="1"/>
    </xf>
    <xf numFmtId="0" fontId="27" fillId="6" borderId="9" applyAlignment="1" pivotButton="0" quotePrefix="1" xfId="0">
      <alignment horizontal="center" vertical="center" wrapText="1"/>
    </xf>
    <xf numFmtId="168" fontId="38" fillId="6" borderId="9" applyAlignment="1" pivotButton="0" quotePrefix="0" xfId="1">
      <alignment horizontal="center" vertical="center" wrapText="1"/>
    </xf>
    <xf numFmtId="165" fontId="31" fillId="6" borderId="9" applyAlignment="1" pivotButton="0" quotePrefix="0" xfId="0">
      <alignment horizontal="center" vertical="center" wrapText="1"/>
    </xf>
    <xf numFmtId="168" fontId="31" fillId="6" borderId="9" applyAlignment="1" pivotButton="0" quotePrefix="0" xfId="0">
      <alignment horizontal="center" vertical="center" wrapText="1"/>
    </xf>
    <xf numFmtId="168" fontId="38" fillId="6" borderId="5" applyAlignment="1" pivotButton="0" quotePrefix="1" xfId="1">
      <alignment horizontal="center" vertical="center" wrapText="1"/>
    </xf>
    <xf numFmtId="168" fontId="38" fillId="6" borderId="2" applyAlignment="1" pivotButton="0" quotePrefix="0" xfId="1">
      <alignment horizontal="center" vertical="center" wrapText="1"/>
    </xf>
    <xf numFmtId="165" fontId="31" fillId="5" borderId="5" applyAlignment="1" pivotButton="0" quotePrefix="0" xfId="1">
      <alignment horizontal="center" vertical="center" wrapText="1"/>
    </xf>
    <xf numFmtId="0" fontId="36" fillId="0" borderId="14" applyAlignment="1" pivotButton="0" quotePrefix="1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68" fontId="0" fillId="5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6" borderId="5" applyAlignment="1" pivotButton="0" quotePrefix="0" xfId="0">
      <alignment horizontal="center" vertical="center"/>
    </xf>
    <xf numFmtId="0" fontId="31" fillId="6" borderId="5" applyAlignment="1" pivotButton="0" quotePrefix="0" xfId="0">
      <alignment horizontal="center" vertical="center"/>
    </xf>
    <xf numFmtId="168" fontId="32" fillId="2" borderId="0" applyAlignment="1" pivotButton="0" quotePrefix="0" xfId="0">
      <alignment horizontal="center" vertical="center"/>
    </xf>
    <xf numFmtId="169" fontId="32" fillId="2" borderId="0" applyAlignment="1" pivotButton="0" quotePrefix="0" xfId="0">
      <alignment horizontal="center" vertical="center"/>
    </xf>
    <xf numFmtId="170" fontId="32" fillId="2" borderId="0" applyAlignment="1" pivotButton="0" quotePrefix="0" xfId="0">
      <alignment horizontal="center" vertical="center"/>
    </xf>
    <xf numFmtId="168" fontId="28" fillId="0" borderId="0" applyAlignment="1" pivotButton="0" quotePrefix="0" xfId="0">
      <alignment horizontal="center" vertical="center"/>
    </xf>
    <xf numFmtId="169" fontId="28" fillId="0" borderId="0" applyAlignment="1" pivotButton="0" quotePrefix="0" xfId="0">
      <alignment horizontal="center" vertical="center"/>
    </xf>
    <xf numFmtId="170" fontId="28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36" fillId="0" borderId="0" applyAlignment="1" pivotButton="0" quotePrefix="1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1" fontId="28" fillId="0" borderId="0" applyAlignment="1" pivotButton="0" quotePrefix="0" xfId="0">
      <alignment horizontal="center" vertical="center"/>
    </xf>
    <xf numFmtId="0" fontId="36" fillId="0" borderId="3" applyAlignment="1" pivotButton="0" quotePrefix="1" xfId="0">
      <alignment horizontal="center" vertical="center" wrapText="1"/>
    </xf>
    <xf numFmtId="0" fontId="36" fillId="0" borderId="13" applyAlignment="1" pivotButton="0" quotePrefix="1" xfId="0">
      <alignment horizontal="center" vertical="center" wrapText="1"/>
    </xf>
    <xf numFmtId="0" fontId="36" fillId="0" borderId="4" applyAlignment="1" pivotButton="0" quotePrefix="1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33" fillId="3" borderId="3" applyAlignment="1" pivotButton="0" quotePrefix="0" xfId="0">
      <alignment horizontal="center" vertical="center" wrapText="1"/>
    </xf>
    <xf numFmtId="0" fontId="33" fillId="3" borderId="4" applyAlignment="1" pivotButton="0" quotePrefix="0" xfId="0">
      <alignment horizontal="center" vertical="center" wrapText="1"/>
    </xf>
    <xf numFmtId="0" fontId="33" fillId="3" borderId="1" applyAlignment="1" pivotButton="0" quotePrefix="0" xfId="0">
      <alignment horizontal="center" vertical="center" wrapText="1"/>
    </xf>
    <xf numFmtId="0" fontId="33" fillId="3" borderId="14" applyAlignment="1" pivotButton="0" quotePrefix="0" xfId="0">
      <alignment horizontal="center" vertical="center" wrapText="1"/>
    </xf>
    <xf numFmtId="0" fontId="33" fillId="3" borderId="7" applyAlignment="1" pivotButton="0" quotePrefix="0" xfId="0">
      <alignment horizontal="center" vertical="center" wrapText="1"/>
    </xf>
    <xf numFmtId="0" fontId="33" fillId="3" borderId="8" applyAlignment="1" pivotButton="0" quotePrefix="0" xfId="0">
      <alignment horizontal="center" vertical="center" wrapText="1"/>
    </xf>
    <xf numFmtId="0" fontId="29" fillId="3" borderId="2" applyAlignment="1" pivotButton="0" quotePrefix="0" xfId="0">
      <alignment horizontal="center" vertical="center" wrapText="1"/>
    </xf>
    <xf numFmtId="0" fontId="29" fillId="3" borderId="10" applyAlignment="1" pivotButton="0" quotePrefix="0" xfId="0">
      <alignment horizontal="center" vertical="center" wrapText="1"/>
    </xf>
    <xf numFmtId="0" fontId="33" fillId="3" borderId="2" applyAlignment="1" pivotButton="0" quotePrefix="0" xfId="0">
      <alignment horizontal="center" vertical="center" wrapText="1"/>
    </xf>
    <xf numFmtId="0" fontId="33" fillId="3" borderId="9" applyAlignment="1" pivotButton="0" quotePrefix="0" xfId="0">
      <alignment horizontal="center" vertical="center" wrapText="1"/>
    </xf>
    <xf numFmtId="3" fontId="29" fillId="3" borderId="6" applyAlignment="1" pivotButton="0" quotePrefix="1" xfId="0">
      <alignment horizontal="center" vertical="center" wrapText="1"/>
    </xf>
    <xf numFmtId="3" fontId="29" fillId="3" borderId="12" applyAlignment="1" pivotButton="0" quotePrefix="1" xfId="0">
      <alignment horizontal="center" vertical="center" wrapText="1"/>
    </xf>
    <xf numFmtId="0" fontId="29" fillId="3" borderId="11" applyAlignment="1" pivotButton="0" quotePrefix="0" xfId="0">
      <alignment horizontal="center" vertical="center" wrapText="1"/>
    </xf>
    <xf numFmtId="0" fontId="29" fillId="3" borderId="12" applyAlignment="1" pivotButton="0" quotePrefix="0" xfId="0">
      <alignment horizontal="center" vertical="center" wrapText="1"/>
    </xf>
    <xf numFmtId="0" fontId="4" fillId="11" borderId="27" applyAlignment="1" pivotButton="0" quotePrefix="0" xfId="0">
      <alignment horizontal="center" vertical="center"/>
    </xf>
    <xf numFmtId="0" fontId="4" fillId="11" borderId="28" applyAlignment="1" pivotButton="0" quotePrefix="0" xfId="0">
      <alignment horizontal="center" vertical="center"/>
    </xf>
    <xf numFmtId="0" fontId="4" fillId="11" borderId="33" applyAlignment="1" pivotButton="0" quotePrefix="0" xfId="0">
      <alignment horizontal="center" vertical="center"/>
    </xf>
    <xf numFmtId="0" fontId="4" fillId="11" borderId="34" applyAlignment="1" pivotButton="0" quotePrefix="0" xfId="0">
      <alignment horizontal="center" vertical="center"/>
    </xf>
    <xf numFmtId="0" fontId="19" fillId="11" borderId="17" applyAlignment="1" pivotButton="0" quotePrefix="0" xfId="0">
      <alignment horizontal="center" vertical="center"/>
    </xf>
    <xf numFmtId="0" fontId="19" fillId="11" borderId="18" applyAlignment="1" pivotButton="0" quotePrefix="0" xfId="0">
      <alignment horizontal="center" vertical="center"/>
    </xf>
    <xf numFmtId="0" fontId="19" fillId="11" borderId="19" applyAlignment="1" pivotButton="0" quotePrefix="0" xfId="0">
      <alignment horizontal="center" vertical="center"/>
    </xf>
    <xf numFmtId="0" fontId="4" fillId="11" borderId="20" applyAlignment="1" pivotButton="0" quotePrefix="0" xfId="0">
      <alignment horizontal="center" vertical="center" wrapText="1"/>
    </xf>
    <xf numFmtId="0" fontId="4" fillId="11" borderId="21" applyAlignment="1" pivotButton="0" quotePrefix="0" xfId="0">
      <alignment horizontal="center" vertical="center" wrapText="1"/>
    </xf>
    <xf numFmtId="0" fontId="4" fillId="11" borderId="23" applyAlignment="1" pivotButton="0" quotePrefix="0" xfId="0">
      <alignment horizontal="center" vertical="center" wrapText="1"/>
    </xf>
    <xf numFmtId="0" fontId="4" fillId="11" borderId="24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center" vertical="center" wrapText="1"/>
    </xf>
    <xf numFmtId="0" fontId="4" fillId="11" borderId="25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center" vertical="center"/>
    </xf>
    <xf numFmtId="0" fontId="4" fillId="11" borderId="2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11" borderId="26" applyAlignment="1" pivotButton="0" quotePrefix="0" xfId="0">
      <alignment horizontal="center" vertical="center"/>
    </xf>
    <xf numFmtId="0" fontId="7" fillId="9" borderId="6" applyAlignment="1" pivotButton="0" quotePrefix="0" xfId="0">
      <alignment horizontal="center" vertical="center" wrapText="1"/>
    </xf>
    <xf numFmtId="0" fontId="7" fillId="9" borderId="13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9" applyAlignment="1" pivotButton="0" quotePrefix="0" xfId="0">
      <alignment horizontal="center" vertical="center" wrapText="1"/>
    </xf>
    <xf numFmtId="0" fontId="8" fillId="8" borderId="1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8" fillId="9" borderId="6" applyAlignment="1" pivotButton="0" quotePrefix="0" xfId="0">
      <alignment horizontal="center" vertical="center" wrapText="1"/>
    </xf>
    <xf numFmtId="0" fontId="8" fillId="9" borderId="11" applyAlignment="1" pivotButton="0" quotePrefix="0" xfId="0">
      <alignment horizontal="center" vertical="center" wrapText="1"/>
    </xf>
    <xf numFmtId="0" fontId="8" fillId="9" borderId="12" applyAlignment="1" pivotButton="0" quotePrefix="0" xfId="0">
      <alignment horizontal="center" vertical="center" wrapText="1"/>
    </xf>
    <xf numFmtId="0" fontId="8" fillId="9" borderId="2" applyAlignment="1" pivotButton="0" quotePrefix="1" xfId="0">
      <alignment horizontal="center" vertical="center" wrapText="1"/>
    </xf>
    <xf numFmtId="0" fontId="8" fillId="9" borderId="9" applyAlignment="1" pivotButton="0" quotePrefix="1" xfId="0">
      <alignment horizontal="center" vertical="center" wrapText="1"/>
    </xf>
    <xf numFmtId="0" fontId="7" fillId="9" borderId="11" applyAlignment="1" pivotButton="0" quotePrefix="0" xfId="0">
      <alignment horizontal="center" vertical="center" wrapText="1"/>
    </xf>
    <xf numFmtId="0" fontId="7" fillId="9" borderId="12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8" fontId="38" fillId="6" borderId="9" applyAlignment="1" pivotButton="0" quotePrefix="0" xfId="1">
      <alignment horizontal="center" vertical="center" wrapText="1"/>
    </xf>
    <xf numFmtId="165" fontId="31" fillId="6" borderId="9" applyAlignment="1" pivotButton="0" quotePrefix="0" xfId="0">
      <alignment horizontal="center" vertical="center" wrapText="1"/>
    </xf>
    <xf numFmtId="168" fontId="31" fillId="6" borderId="9" applyAlignment="1" pivotButton="0" quotePrefix="0" xfId="0">
      <alignment horizontal="center" vertical="center" wrapText="1"/>
    </xf>
    <xf numFmtId="165" fontId="35" fillId="6" borderId="5" applyAlignment="1" pivotButton="0" quotePrefix="0" xfId="0">
      <alignment horizontal="center" vertical="center" wrapText="1"/>
    </xf>
    <xf numFmtId="165" fontId="31" fillId="6" borderId="5" applyAlignment="1" pivotButton="0" quotePrefix="0" xfId="0">
      <alignment horizontal="center" vertical="center" wrapText="1"/>
    </xf>
    <xf numFmtId="168" fontId="31" fillId="5" borderId="5" applyAlignment="1" pivotButton="0" quotePrefix="0" xfId="1">
      <alignment horizontal="center" vertical="center" wrapText="1"/>
    </xf>
    <xf numFmtId="165" fontId="31" fillId="5" borderId="5" applyAlignment="1" pivotButton="0" quotePrefix="0" xfId="0">
      <alignment horizontal="center" vertical="center" wrapText="1"/>
    </xf>
    <xf numFmtId="168" fontId="31" fillId="5" borderId="5" applyAlignment="1" pivotButton="0" quotePrefix="0" xfId="0">
      <alignment horizontal="center" vertical="center" wrapText="1"/>
    </xf>
    <xf numFmtId="165" fontId="35" fillId="5" borderId="5" applyAlignment="1" pivotButton="0" quotePrefix="0" xfId="0">
      <alignment horizontal="center" vertical="center" wrapText="1"/>
    </xf>
    <xf numFmtId="165" fontId="38" fillId="5" borderId="5" applyAlignment="1" pivotButton="0" quotePrefix="0" xfId="0">
      <alignment horizontal="center" vertical="center" wrapText="1"/>
    </xf>
    <xf numFmtId="165" fontId="35" fillId="5" borderId="2" applyAlignment="1" pivotButton="0" quotePrefix="0" xfId="0">
      <alignment horizontal="center" vertical="center" wrapText="1"/>
    </xf>
    <xf numFmtId="168" fontId="38" fillId="5" borderId="5" applyAlignment="1" pivotButton="0" quotePrefix="0" xfId="1">
      <alignment horizontal="center" vertical="center" wrapText="1"/>
    </xf>
    <xf numFmtId="168" fontId="31" fillId="6" borderId="5" applyAlignment="1" pivotButton="0" quotePrefix="0" xfId="1">
      <alignment horizontal="center" vertical="center" wrapText="1"/>
    </xf>
    <xf numFmtId="168" fontId="31" fillId="6" borderId="5" applyAlignment="1" pivotButton="0" quotePrefix="0" xfId="0">
      <alignment horizontal="center" vertical="center" wrapText="1"/>
    </xf>
    <xf numFmtId="165" fontId="38" fillId="6" borderId="5" applyAlignment="1" pivotButton="0" quotePrefix="0" xfId="0">
      <alignment horizontal="center" vertical="center" wrapText="1"/>
    </xf>
    <xf numFmtId="168" fontId="38" fillId="6" borderId="5" applyAlignment="1" pivotButton="0" quotePrefix="0" xfId="1">
      <alignment horizontal="center" vertical="center" wrapText="1"/>
    </xf>
    <xf numFmtId="165" fontId="35" fillId="6" borderId="2" applyAlignment="1" pivotButton="0" quotePrefix="0" xfId="0">
      <alignment horizontal="center" vertical="center" wrapText="1"/>
    </xf>
    <xf numFmtId="168" fontId="38" fillId="6" borderId="5" applyAlignment="1" pivotButton="0" quotePrefix="1" xfId="1">
      <alignment horizontal="center" vertical="center" wrapText="1"/>
    </xf>
    <xf numFmtId="165" fontId="31" fillId="6" borderId="5" applyAlignment="1" pivotButton="0" quotePrefix="1" xfId="1">
      <alignment horizontal="center" vertical="center" wrapText="1"/>
    </xf>
    <xf numFmtId="168" fontId="31" fillId="6" borderId="5" applyAlignment="1" pivotButton="0" quotePrefix="1" xfId="1">
      <alignment horizontal="center" vertical="center" wrapText="1"/>
    </xf>
    <xf numFmtId="168" fontId="0" fillId="5" borderId="0" applyAlignment="1" pivotButton="0" quotePrefix="0" xfId="0">
      <alignment horizontal="center" vertical="center"/>
    </xf>
    <xf numFmtId="165" fontId="31" fillId="5" borderId="5" applyAlignment="1" pivotButton="0" quotePrefix="0" xfId="1">
      <alignment horizontal="center" vertical="center" wrapText="1"/>
    </xf>
    <xf numFmtId="168" fontId="38" fillId="6" borderId="2" applyAlignment="1" pivotButton="0" quotePrefix="0" xfId="1">
      <alignment horizontal="center" vertical="center" wrapText="1"/>
    </xf>
    <xf numFmtId="168" fontId="38" fillId="5" borderId="2" applyAlignment="1" pivotButton="0" quotePrefix="0" xfId="1">
      <alignment horizontal="center" vertical="center" wrapText="1"/>
    </xf>
    <xf numFmtId="165" fontId="31" fillId="5" borderId="2" applyAlignment="1" pivotButton="0" quotePrefix="0" xfId="0">
      <alignment horizontal="center" vertical="center" wrapText="1"/>
    </xf>
    <xf numFmtId="168" fontId="31" fillId="5" borderId="2" applyAlignment="1" pivotButton="0" quotePrefix="0" xfId="1">
      <alignment horizontal="center" vertical="center" wrapText="1"/>
    </xf>
    <xf numFmtId="165" fontId="31" fillId="6" borderId="2" applyAlignment="1" pivotButton="0" quotePrefix="0" xfId="0">
      <alignment horizontal="center" vertical="center" wrapText="1"/>
    </xf>
    <xf numFmtId="168" fontId="31" fillId="6" borderId="2" applyAlignment="1" pivotButton="0" quotePrefix="0" xfId="1">
      <alignment horizontal="center" vertical="center" wrapText="1"/>
    </xf>
    <xf numFmtId="0" fontId="36" fillId="0" borderId="2" applyAlignment="1" pivotButton="0" quotePrefix="1" xfId="0">
      <alignment horizontal="center" vertical="center" wrapText="1"/>
    </xf>
    <xf numFmtId="0" fontId="0" fillId="0" borderId="13" pivotButton="0" quotePrefix="0" xfId="0"/>
    <xf numFmtId="168" fontId="36" fillId="0" borderId="0" applyAlignment="1" pivotButton="0" quotePrefix="1" xfId="0">
      <alignment horizontal="center" vertical="center" wrapText="1"/>
    </xf>
    <xf numFmtId="168" fontId="32" fillId="2" borderId="0" applyAlignment="1" pivotButton="0" quotePrefix="0" xfId="0">
      <alignment horizontal="center" vertical="center"/>
    </xf>
    <xf numFmtId="169" fontId="32" fillId="2" borderId="0" applyAlignment="1" pivotButton="0" quotePrefix="0" xfId="0">
      <alignment horizontal="center" vertical="center"/>
    </xf>
    <xf numFmtId="170" fontId="32" fillId="2" borderId="0" applyAlignment="1" pivotButton="0" quotePrefix="0" xfId="0">
      <alignment horizontal="center" vertical="center"/>
    </xf>
    <xf numFmtId="168" fontId="28" fillId="0" borderId="0" applyAlignment="1" pivotButton="0" quotePrefix="0" xfId="0">
      <alignment horizontal="center" vertical="center"/>
    </xf>
    <xf numFmtId="169" fontId="28" fillId="0" borderId="0" applyAlignment="1" pivotButton="0" quotePrefix="0" xfId="0">
      <alignment horizontal="center" vertical="center"/>
    </xf>
    <xf numFmtId="170" fontId="28" fillId="0" borderId="0" applyAlignment="1" pivotButton="0" quotePrefix="0" xfId="0">
      <alignment horizontal="center" vertical="center"/>
    </xf>
    <xf numFmtId="0" fontId="19" fillId="11" borderId="1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71" pivotButton="0" quotePrefix="0" xfId="0"/>
    <xf numFmtId="0" fontId="0" fillId="0" borderId="74" pivotButton="0" quotePrefix="0" xfId="0"/>
    <xf numFmtId="0" fontId="0" fillId="0" borderId="75" pivotButton="0" quotePrefix="0" xfId="0"/>
    <xf numFmtId="0" fontId="0" fillId="0" borderId="70" pivotButton="0" quotePrefix="0" xfId="0"/>
    <xf numFmtId="164" fontId="4" fillId="11" borderId="5" applyAlignment="1" pivotButton="0" quotePrefix="0" xfId="2">
      <alignment horizontal="center" vertical="center"/>
    </xf>
    <xf numFmtId="0" fontId="0" fillId="0" borderId="72" pivotButton="0" quotePrefix="0" xfId="0"/>
    <xf numFmtId="164" fontId="4" fillId="11" borderId="2" applyAlignment="1" pivotButton="0" quotePrefix="0" xfId="2">
      <alignment horizontal="center" vertical="center"/>
    </xf>
    <xf numFmtId="164" fontId="4" fillId="0" borderId="0" applyAlignment="1" pivotButton="0" quotePrefix="0" xfId="2">
      <alignment horizontal="center" vertical="center"/>
    </xf>
    <xf numFmtId="164" fontId="0" fillId="4" borderId="35" applyAlignment="1" pivotButton="0" quotePrefix="0" xfId="2">
      <alignment horizontal="center" vertical="center" wrapText="1"/>
    </xf>
    <xf numFmtId="165" fontId="0" fillId="4" borderId="42" applyAlignment="1" pivotButton="0" quotePrefix="0" xfId="0">
      <alignment horizontal="center" vertical="center" wrapText="1"/>
    </xf>
    <xf numFmtId="165" fontId="0" fillId="4" borderId="35" applyAlignment="1" pivotButton="0" quotePrefix="0" xfId="0">
      <alignment horizontal="center" vertical="center"/>
    </xf>
    <xf numFmtId="165" fontId="0" fillId="4" borderId="44" applyAlignment="1" pivotButton="0" quotePrefix="0" xfId="0">
      <alignment horizontal="center" vertical="center"/>
    </xf>
    <xf numFmtId="165" fontId="18" fillId="4" borderId="35" applyAlignment="1" pivotButton="0" quotePrefix="0" xfId="0">
      <alignment horizontal="center" vertical="center"/>
    </xf>
    <xf numFmtId="164" fontId="18" fillId="5" borderId="46" applyAlignment="1" pivotButton="0" quotePrefix="0" xfId="2">
      <alignment horizontal="center" vertical="center" wrapText="1"/>
    </xf>
    <xf numFmtId="165" fontId="0" fillId="5" borderId="53" applyAlignment="1" pivotButton="0" quotePrefix="0" xfId="0">
      <alignment horizontal="center" vertical="center" wrapText="1"/>
    </xf>
    <xf numFmtId="164" fontId="0" fillId="5" borderId="46" applyAlignment="1" pivotButton="0" quotePrefix="0" xfId="2">
      <alignment horizontal="center" vertical="center" wrapText="1"/>
    </xf>
    <xf numFmtId="165" fontId="0" fillId="5" borderId="46" applyAlignment="1" pivotButton="0" quotePrefix="0" xfId="0">
      <alignment horizontal="center" vertical="center"/>
    </xf>
    <xf numFmtId="165" fontId="0" fillId="5" borderId="18" applyAlignment="1" pivotButton="0" quotePrefix="0" xfId="0">
      <alignment horizontal="center" vertical="center"/>
    </xf>
    <xf numFmtId="165" fontId="18" fillId="5" borderId="46" applyAlignment="1" pivotButton="0" quotePrefix="0" xfId="0">
      <alignment horizontal="center" vertical="center"/>
    </xf>
    <xf numFmtId="165" fontId="18" fillId="5" borderId="53" applyAlignment="1" pivotButton="0" quotePrefix="0" xfId="0">
      <alignment horizontal="center" vertical="center" wrapText="1"/>
    </xf>
    <xf numFmtId="164" fontId="18" fillId="4" borderId="46" applyAlignment="1" pivotButton="0" quotePrefix="0" xfId="2">
      <alignment horizontal="center" vertical="center" wrapText="1"/>
    </xf>
    <xf numFmtId="165" fontId="0" fillId="4" borderId="53" applyAlignment="1" pivotButton="0" quotePrefix="0" xfId="0">
      <alignment horizontal="center" vertical="center" wrapText="1"/>
    </xf>
    <xf numFmtId="165" fontId="0" fillId="4" borderId="46" applyAlignment="1" pivotButton="0" quotePrefix="0" xfId="0">
      <alignment horizontal="center" vertical="center"/>
    </xf>
    <xf numFmtId="165" fontId="0" fillId="4" borderId="18" applyAlignment="1" pivotButton="0" quotePrefix="0" xfId="0">
      <alignment horizontal="center" vertical="center"/>
    </xf>
    <xf numFmtId="165" fontId="18" fillId="4" borderId="46" applyAlignment="1" pivotButton="0" quotePrefix="0" xfId="0">
      <alignment horizontal="center" vertical="center"/>
    </xf>
    <xf numFmtId="164" fontId="0" fillId="4" borderId="46" applyAlignment="1" pivotButton="0" quotePrefix="0" xfId="2">
      <alignment horizontal="center" vertical="center" wrapText="1"/>
    </xf>
    <xf numFmtId="164" fontId="11" fillId="4" borderId="46" applyAlignment="1" pivotButton="0" quotePrefix="0" xfId="2">
      <alignment horizontal="center" vertical="center" wrapText="1"/>
    </xf>
    <xf numFmtId="165" fontId="0" fillId="5" borderId="46" applyAlignment="1" pivotButton="0" quotePrefix="1" xfId="0">
      <alignment horizontal="center" vertical="center"/>
    </xf>
    <xf numFmtId="165" fontId="18" fillId="5" borderId="46" applyAlignment="1" pivotButton="0" quotePrefix="1" xfId="0">
      <alignment horizontal="center" vertical="center"/>
    </xf>
    <xf numFmtId="165" fontId="0" fillId="5" borderId="46" applyAlignment="1" pivotButton="0" quotePrefix="0" xfId="0">
      <alignment horizontal="center" vertical="center" wrapText="1"/>
    </xf>
    <xf numFmtId="165" fontId="0" fillId="5" borderId="53" applyAlignment="1" pivotButton="0" quotePrefix="1" xfId="0">
      <alignment horizontal="center" vertical="center" wrapText="1"/>
    </xf>
    <xf numFmtId="165" fontId="20" fillId="5" borderId="46" applyAlignment="1" pivotButton="0" quotePrefix="1" xfId="0">
      <alignment horizontal="center" vertical="center"/>
    </xf>
    <xf numFmtId="165" fontId="0" fillId="4" borderId="46" applyAlignment="1" pivotButton="0" quotePrefix="0" xfId="0">
      <alignment horizontal="center" vertical="center" wrapText="1"/>
    </xf>
    <xf numFmtId="165" fontId="21" fillId="5" borderId="46" applyAlignment="1" pivotButton="0" quotePrefix="0" xfId="0">
      <alignment horizontal="center" vertical="center" wrapText="1"/>
    </xf>
    <xf numFmtId="164" fontId="0" fillId="5" borderId="65" applyAlignment="1" pivotButton="0" quotePrefix="0" xfId="2">
      <alignment horizontal="center" vertical="center" wrapText="1"/>
    </xf>
    <xf numFmtId="165" fontId="0" fillId="5" borderId="68" applyAlignment="1" pivotButton="0" quotePrefix="0" xfId="0">
      <alignment horizontal="center" vertical="center" wrapText="1"/>
    </xf>
    <xf numFmtId="164" fontId="18" fillId="5" borderId="65" applyAlignment="1" pivotButton="0" quotePrefix="0" xfId="2">
      <alignment horizontal="center" vertical="center" wrapText="1"/>
    </xf>
    <xf numFmtId="165" fontId="0" fillId="5" borderId="65" applyAlignment="1" pivotButton="0" quotePrefix="0" xfId="0">
      <alignment horizontal="center" vertical="center"/>
    </xf>
    <xf numFmtId="165" fontId="0" fillId="5" borderId="69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 wrapText="1"/>
    </xf>
    <xf numFmtId="164" fontId="23" fillId="12" borderId="5" applyAlignment="1" pivotButton="0" quotePrefix="0" xfId="2">
      <alignment horizontal="center" vertical="center"/>
    </xf>
    <xf numFmtId="164" fontId="16" fillId="12" borderId="5" applyAlignment="1" pivotButton="0" quotePrefix="0" xfId="2">
      <alignment horizontal="center" vertical="center"/>
    </xf>
    <xf numFmtId="168" fontId="5" fillId="0" borderId="0" applyAlignment="1" pivotButton="0" quotePrefix="0" xfId="1">
      <alignment horizontal="center" vertical="center"/>
    </xf>
    <xf numFmtId="169" fontId="5" fillId="0" borderId="0" applyAlignment="1" pivotButton="0" quotePrefix="0" xfId="1">
      <alignment horizontal="center" vertical="center"/>
    </xf>
  </cellXfs>
  <cellStyles count="4">
    <cellStyle name="Normal" xfId="0" builtinId="0"/>
    <cellStyle name="Millares" xfId="1" builtinId="3"/>
    <cellStyle name="Millares 2" xfId="2"/>
    <cellStyle name="Millares 2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2:AE94"/>
  <sheetViews>
    <sheetView showGridLines="0" tabSelected="1" view="pageBreakPreview" zoomScale="98" zoomScaleNormal="145" zoomScaleSheetLayoutView="98" workbookViewId="0">
      <pane xSplit="2" ySplit="10" topLeftCell="O11" activePane="bottomRight" state="frozen"/>
      <selection pane="topRight" activeCell="C1" sqref="C1"/>
      <selection pane="bottomLeft" activeCell="A11" sqref="A11"/>
      <selection pane="bottomRight" activeCell="C11" sqref="C11:W70"/>
    </sheetView>
  </sheetViews>
  <sheetFormatPr baseColWidth="10" defaultColWidth="11.42578125" defaultRowHeight="15"/>
  <cols>
    <col width="11.42578125" customWidth="1" style="360" min="1" max="1"/>
    <col width="24.28515625" bestFit="1" customWidth="1" style="360" min="2" max="2"/>
    <col width="11" customWidth="1" style="360" min="3" max="3"/>
    <col width="11.28515625" customWidth="1" style="360" min="4" max="4"/>
    <col width="10.7109375" customWidth="1" style="360" min="5" max="5"/>
    <col width="16.7109375" customWidth="1" style="360" min="6" max="6"/>
    <col width="15.5703125" customWidth="1" style="360" min="7" max="7"/>
    <col width="11.42578125" customWidth="1" style="360" min="8" max="8"/>
    <col width="15.28515625" customWidth="1" style="360" min="9" max="9"/>
    <col width="16.7109375" customWidth="1" style="360" min="10" max="10"/>
    <col width="11.42578125" customWidth="1" style="360" min="11" max="11"/>
    <col width="12.140625" customWidth="1" style="360" min="12" max="12"/>
    <col width="11.42578125" customWidth="1" style="360" min="13" max="14"/>
    <col width="16.42578125" customWidth="1" style="360" min="15" max="15"/>
    <col width="12.28515625" customWidth="1" style="360" min="16" max="16"/>
    <col width="14.85546875" customWidth="1" style="360" min="17" max="17"/>
    <col width="12.7109375" customWidth="1" style="360" min="18" max="18"/>
    <col width="13.7109375" customWidth="1" style="360" min="19" max="27"/>
    <col width="23.28515625" customWidth="1" style="360" min="28" max="28"/>
    <col width="13.7109375" customWidth="1" style="360" min="29" max="29"/>
    <col width="20.28515625" customWidth="1" style="360" min="30" max="30"/>
    <col width="18.7109375" customWidth="1" style="360" min="31" max="31"/>
    <col width="11.42578125" customWidth="1" style="360" min="32" max="16384"/>
  </cols>
  <sheetData>
    <row r="2" ht="11.25" customHeight="1">
      <c r="U2" s="360" t="n">
        <v>24.305</v>
      </c>
      <c r="V2" s="360" t="n">
        <v>22.989</v>
      </c>
      <c r="W2" s="360" t="n">
        <v>40.078</v>
      </c>
    </row>
    <row r="3" ht="12" customHeight="1" thickBot="1">
      <c r="U3" s="360" t="n">
        <v>2</v>
      </c>
      <c r="V3" s="360" t="n">
        <v>1</v>
      </c>
      <c r="W3" s="360" t="n">
        <v>2</v>
      </c>
    </row>
    <row r="4" ht="39" customFormat="1" customHeight="1" s="300" thickBot="1">
      <c r="B4" s="378" t="inlineStr">
        <is>
          <t>RESULTADOS ANÁLISIS FISICOS DE LA CALIDAD DE AGUA SUBTERRANEA VALLE DE VIRÚ
MARZO 2026 - 1° MONITOREO</t>
        </is>
      </c>
      <c r="C4" s="379" t="n"/>
      <c r="D4" s="379" t="n"/>
      <c r="E4" s="379" t="n"/>
      <c r="F4" s="379" t="n"/>
      <c r="G4" s="379" t="n"/>
      <c r="H4" s="379" t="n"/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79" t="n"/>
      <c r="S4" s="379" t="n"/>
      <c r="T4" s="379" t="n"/>
      <c r="U4" s="379" t="n"/>
      <c r="V4" s="379" t="n"/>
      <c r="W4" s="379" t="n"/>
      <c r="X4" s="379" t="n"/>
      <c r="Y4" s="379" t="n"/>
      <c r="Z4" s="379" t="n"/>
      <c r="AA4" s="379" t="n"/>
      <c r="AB4" s="379" t="n"/>
      <c r="AC4" s="379" t="n"/>
      <c r="AD4" s="379" t="n"/>
      <c r="AE4" s="380" t="n"/>
    </row>
    <row r="5" ht="2.25" customHeight="1" thickBot="1"/>
    <row r="6" ht="45.75" customHeight="1" thickBot="1">
      <c r="B6" s="334" t="inlineStr">
        <is>
          <t>PARAMETRO</t>
        </is>
      </c>
      <c r="C6" s="230" t="inlineStr">
        <is>
          <t>Coordenada Datum: WGS-84</t>
        </is>
      </c>
      <c r="D6" s="381" t="n"/>
      <c r="E6" s="230" t="inlineStr">
        <is>
          <t>Nº de Pozo de observación</t>
        </is>
      </c>
      <c r="F6" s="381" t="n"/>
      <c r="G6" s="332" t="inlineStr">
        <is>
          <t>Conductividad Eléctrica</t>
        </is>
      </c>
      <c r="H6" s="332" t="inlineStr">
        <is>
          <t>Ph</t>
        </is>
      </c>
      <c r="I6" s="226" t="inlineStr">
        <is>
          <t>Sólidos Totales  Disueltos</t>
        </is>
      </c>
      <c r="J6" s="227" t="inlineStr">
        <is>
          <t>Temperatura</t>
        </is>
      </c>
      <c r="K6" s="326" t="inlineStr">
        <is>
          <t xml:space="preserve">Turbidez </t>
        </is>
      </c>
      <c r="L6" s="263" t="inlineStr">
        <is>
          <t xml:space="preserve">Nitratos  (NO3-) </t>
        </is>
      </c>
      <c r="M6" s="227" t="inlineStr">
        <is>
          <t>Nitritos  (NO2-)</t>
        </is>
      </c>
      <c r="N6" s="334" t="inlineStr">
        <is>
          <t>Cobre (Cu)</t>
        </is>
      </c>
      <c r="O6" s="332" t="inlineStr">
        <is>
          <t>Cromo Hexavalente (Cr6+)</t>
        </is>
      </c>
      <c r="P6" s="334" t="inlineStr">
        <is>
          <t>Sulfatos  (SO₄²-)</t>
        </is>
      </c>
      <c r="Q6" s="334" t="inlineStr">
        <is>
          <t>Manganeso (Mn)</t>
        </is>
      </c>
      <c r="R6" s="334" t="inlineStr">
        <is>
          <t>Zinc (Zn)</t>
        </is>
      </c>
      <c r="S6" s="334" t="inlineStr">
        <is>
          <t>Hierro (Fe)</t>
        </is>
      </c>
      <c r="T6" s="227" t="inlineStr">
        <is>
          <t>Amonio 
(NH4) (*)</t>
        </is>
      </c>
      <c r="U6" s="227" t="inlineStr">
        <is>
          <t>Magnesio
(Mg) (*)</t>
        </is>
      </c>
      <c r="V6" s="227" t="inlineStr">
        <is>
          <t>Sodio
(Na) (*)</t>
        </is>
      </c>
      <c r="W6" s="227" t="inlineStr">
        <is>
          <t>Calcio
(Ca)</t>
        </is>
      </c>
      <c r="X6" s="332" t="inlineStr">
        <is>
          <t>Magnesio
(Mg) (*)
(me/L)</t>
        </is>
      </c>
      <c r="Y6" s="332" t="inlineStr">
        <is>
          <t>Sodio
(Na) (*)
(me/L)</t>
        </is>
      </c>
      <c r="Z6" s="332" t="inlineStr">
        <is>
          <t>Calcio
(Ca) (*)
(me/L)</t>
        </is>
      </c>
      <c r="AA6" s="332" t="inlineStr">
        <is>
          <t>CÁLCULO 
RAS
(Relación de Absorción de Sodio)</t>
        </is>
      </c>
      <c r="AB6" s="332" t="inlineStr">
        <is>
          <t>GRADO DE RESTRICCIÓN</t>
        </is>
      </c>
      <c r="AC6" s="227" t="inlineStr">
        <is>
          <t>Coliformes
Totales</t>
        </is>
      </c>
      <c r="AD6" s="227" t="inlineStr">
        <is>
          <t>Coliformes
Termotolerantes</t>
        </is>
      </c>
      <c r="AE6" s="227" t="inlineStr">
        <is>
          <t>Escherichia coli</t>
        </is>
      </c>
    </row>
    <row r="7" ht="15.75" customHeight="1" thickBot="1">
      <c r="B7" s="334" t="inlineStr">
        <is>
          <t>UM</t>
        </is>
      </c>
      <c r="C7" s="382" t="n"/>
      <c r="D7" s="383" t="n"/>
      <c r="E7" s="384" t="n"/>
      <c r="F7" s="385" t="n"/>
      <c r="G7" s="332" t="inlineStr">
        <is>
          <t>µmho/cm</t>
        </is>
      </c>
      <c r="H7" s="332" t="inlineStr">
        <is>
          <t>ph</t>
        </is>
      </c>
      <c r="I7" s="332" t="inlineStr">
        <is>
          <t>mgL-1</t>
        </is>
      </c>
      <c r="J7" s="333" t="inlineStr">
        <is>
          <t>°C</t>
        </is>
      </c>
      <c r="K7" s="332" t="inlineStr">
        <is>
          <t>NTU</t>
        </is>
      </c>
      <c r="L7" s="228" t="inlineStr">
        <is>
          <t>mg/L</t>
        </is>
      </c>
      <c r="M7" s="228" t="inlineStr">
        <is>
          <t>mg/L</t>
        </is>
      </c>
      <c r="N7" s="227" t="inlineStr">
        <is>
          <t>mg/L</t>
        </is>
      </c>
      <c r="O7" s="227" t="inlineStr">
        <is>
          <t>mg/L</t>
        </is>
      </c>
      <c r="P7" s="227" t="inlineStr">
        <is>
          <t>mg/L</t>
        </is>
      </c>
      <c r="Q7" s="227" t="inlineStr">
        <is>
          <t>mg/L</t>
        </is>
      </c>
      <c r="R7" s="227" t="inlineStr">
        <is>
          <t>mg/L</t>
        </is>
      </c>
      <c r="S7" s="332" t="inlineStr">
        <is>
          <t>mg/L</t>
        </is>
      </c>
      <c r="T7" s="332" t="inlineStr">
        <is>
          <t>mg/L</t>
        </is>
      </c>
      <c r="U7" s="332" t="inlineStr">
        <is>
          <t>mg/L</t>
        </is>
      </c>
      <c r="V7" s="332" t="inlineStr">
        <is>
          <t>mg/L</t>
        </is>
      </c>
      <c r="W7" s="332" t="inlineStr">
        <is>
          <t>mg/L</t>
        </is>
      </c>
      <c r="X7" s="386" t="n"/>
      <c r="Y7" s="386" t="n"/>
      <c r="Z7" s="386" t="n"/>
      <c r="AA7" s="386" t="n"/>
      <c r="AB7" s="386" t="n"/>
      <c r="AC7" s="332" t="inlineStr">
        <is>
          <t>UFC/100 ml</t>
        </is>
      </c>
      <c r="AD7" s="332" t="inlineStr">
        <is>
          <t>UFC/100 ml</t>
        </is>
      </c>
      <c r="AE7" s="332" t="inlineStr">
        <is>
          <t>UFC/100 ml</t>
        </is>
      </c>
    </row>
    <row r="8" ht="15.75" customHeight="1" thickBot="1">
      <c r="B8" s="230" t="inlineStr">
        <is>
          <t>DS N° 004-2017 MINAM</t>
        </is>
      </c>
      <c r="C8" s="382" t="n"/>
      <c r="D8" s="383" t="n"/>
      <c r="E8" s="260" t="inlineStr">
        <is>
          <t>Riego deVegetales</t>
        </is>
      </c>
      <c r="F8" s="380" t="n"/>
      <c r="G8" s="260" t="n">
        <v>2500</v>
      </c>
      <c r="H8" s="259" t="inlineStr">
        <is>
          <t>6,5 – 8,5</t>
        </is>
      </c>
      <c r="I8" s="260" t="inlineStr">
        <is>
          <t>-</t>
        </is>
      </c>
      <c r="J8" s="260" t="inlineStr">
        <is>
          <t>-</t>
        </is>
      </c>
      <c r="K8" s="260" t="inlineStr">
        <is>
          <t>-</t>
        </is>
      </c>
      <c r="L8" s="227" t="n">
        <v>100</v>
      </c>
      <c r="M8" s="260" t="n">
        <v>10</v>
      </c>
      <c r="N8" s="227" t="n">
        <v>0.2</v>
      </c>
      <c r="O8" s="227" t="inlineStr">
        <is>
          <t>0.1 (C.T)</t>
        </is>
      </c>
      <c r="P8" s="227" t="n">
        <v>1000</v>
      </c>
      <c r="Q8" s="227" t="n">
        <v>0.2</v>
      </c>
      <c r="R8" s="227" t="n">
        <v>2</v>
      </c>
      <c r="S8" s="260" t="n">
        <v>5</v>
      </c>
      <c r="T8" s="260" t="inlineStr">
        <is>
          <t>-</t>
        </is>
      </c>
      <c r="U8" s="260" t="inlineStr">
        <is>
          <t>-</t>
        </is>
      </c>
      <c r="V8" s="260" t="inlineStr">
        <is>
          <t>-</t>
        </is>
      </c>
      <c r="W8" s="260" t="inlineStr">
        <is>
          <t>-</t>
        </is>
      </c>
      <c r="X8" s="386" t="n"/>
      <c r="Y8" s="386" t="n"/>
      <c r="Z8" s="386" t="n"/>
      <c r="AA8" s="386" t="n"/>
      <c r="AB8" s="386" t="n"/>
      <c r="AC8" s="339" t="inlineStr">
        <is>
          <t>*</t>
        </is>
      </c>
      <c r="AD8" s="379" t="n"/>
      <c r="AE8" s="380" t="n"/>
    </row>
    <row r="9" ht="15.75" customHeight="1" thickBot="1">
      <c r="B9" s="387" t="n"/>
      <c r="C9" s="382" t="n"/>
      <c r="D9" s="383" t="n"/>
      <c r="E9" s="260" t="inlineStr">
        <is>
          <t>Consumo de Animales</t>
        </is>
      </c>
      <c r="F9" s="380" t="n"/>
      <c r="G9" s="261" t="n">
        <v>5000</v>
      </c>
      <c r="H9" s="332" t="inlineStr">
        <is>
          <t>6,5 – 8,4</t>
        </is>
      </c>
      <c r="I9" s="262" t="inlineStr">
        <is>
          <t>-</t>
        </is>
      </c>
      <c r="J9" s="262" t="inlineStr">
        <is>
          <t>-</t>
        </is>
      </c>
      <c r="K9" s="260" t="inlineStr">
        <is>
          <t>-</t>
        </is>
      </c>
      <c r="L9" s="227" t="n">
        <v>100</v>
      </c>
      <c r="M9" s="260" t="n">
        <v>10</v>
      </c>
      <c r="N9" s="227" t="n">
        <v>0.5</v>
      </c>
      <c r="O9" s="227" t="inlineStr">
        <is>
          <t>1  (C.T)</t>
        </is>
      </c>
      <c r="P9" s="227" t="n">
        <v>1000</v>
      </c>
      <c r="Q9" s="227" t="n">
        <v>0.2</v>
      </c>
      <c r="R9" s="227" t="n">
        <v>24</v>
      </c>
      <c r="S9" s="260" t="inlineStr">
        <is>
          <t>-</t>
        </is>
      </c>
      <c r="T9" s="260" t="inlineStr">
        <is>
          <t>-</t>
        </is>
      </c>
      <c r="U9" s="227" t="n">
        <v>250</v>
      </c>
      <c r="V9" s="260" t="inlineStr">
        <is>
          <t>-</t>
        </is>
      </c>
      <c r="W9" s="260" t="inlineStr">
        <is>
          <t>-</t>
        </is>
      </c>
      <c r="X9" s="386" t="n"/>
      <c r="Y9" s="386" t="n"/>
      <c r="Z9" s="386" t="n"/>
      <c r="AA9" s="386" t="n"/>
      <c r="AB9" s="386" t="n"/>
      <c r="AC9" s="339" t="inlineStr">
        <is>
          <t>*</t>
        </is>
      </c>
      <c r="AD9" s="379" t="n"/>
      <c r="AE9" s="380" t="n"/>
    </row>
    <row r="10" ht="15.75" customHeight="1" thickBot="1">
      <c r="B10" s="230" t="inlineStr">
        <is>
          <t>DS N° 031-2010-SA.</t>
        </is>
      </c>
      <c r="C10" s="384" t="n"/>
      <c r="D10" s="385" t="n"/>
      <c r="E10" s="260" t="inlineStr">
        <is>
          <t>Consumo Humano</t>
        </is>
      </c>
      <c r="F10" s="380" t="n"/>
      <c r="G10" s="332" t="inlineStr">
        <is>
          <t>1 500</t>
        </is>
      </c>
      <c r="H10" s="332" t="inlineStr">
        <is>
          <t>6.5-8.5</t>
        </is>
      </c>
      <c r="I10" s="332" t="inlineStr">
        <is>
          <t>1 000</t>
        </is>
      </c>
      <c r="J10" s="231" t="inlineStr">
        <is>
          <t>-</t>
        </is>
      </c>
      <c r="K10" s="334" t="n">
        <v>5</v>
      </c>
      <c r="L10" s="334" t="n">
        <v>50</v>
      </c>
      <c r="M10" s="334" t="n">
        <v>3</v>
      </c>
      <c r="N10" s="332" t="n">
        <v>2</v>
      </c>
      <c r="O10" s="332" t="n">
        <v>0.05</v>
      </c>
      <c r="P10" s="334" t="n">
        <v>250</v>
      </c>
      <c r="Q10" s="334" t="n">
        <v>0.4</v>
      </c>
      <c r="R10" s="334" t="n">
        <v>3</v>
      </c>
      <c r="S10" s="332" t="n">
        <v>0.3</v>
      </c>
      <c r="T10" s="332" t="inlineStr">
        <is>
          <t>-</t>
        </is>
      </c>
      <c r="U10" s="332" t="inlineStr">
        <is>
          <t>-</t>
        </is>
      </c>
      <c r="V10" s="332" t="n">
        <v>200</v>
      </c>
      <c r="W10" s="332" t="inlineStr">
        <is>
          <t>-</t>
        </is>
      </c>
      <c r="X10" s="386" t="n"/>
      <c r="Y10" s="386" t="n"/>
      <c r="Z10" s="386" t="n"/>
      <c r="AA10" s="386" t="n"/>
      <c r="AB10" s="386" t="n"/>
      <c r="AC10" s="332" t="n">
        <v>0</v>
      </c>
      <c r="AD10" s="332" t="n">
        <v>0</v>
      </c>
      <c r="AE10" s="332" t="n">
        <v>0</v>
      </c>
    </row>
    <row r="11" ht="15.75" customFormat="1" customHeight="1" s="301" thickBot="1">
      <c r="B11" s="291" t="inlineStr">
        <is>
          <t>M1</t>
        </is>
      </c>
      <c r="C11" s="291" t="n"/>
      <c r="D11" s="291" t="n"/>
      <c r="E11" s="291" t="n"/>
      <c r="F11" s="292" t="n"/>
      <c r="G11" s="388" t="n"/>
      <c r="H11" s="389" t="n"/>
      <c r="I11" s="390" t="n"/>
      <c r="J11" s="391" t="n"/>
      <c r="K11" s="271" t="n"/>
      <c r="L11" s="272" t="n"/>
      <c r="M11" s="271" t="n"/>
      <c r="N11" s="392" t="n"/>
      <c r="O11" s="392" t="n"/>
      <c r="P11" s="275" t="n"/>
      <c r="Q11" s="283" t="n"/>
      <c r="R11" s="392" t="n"/>
      <c r="S11" s="276" t="n"/>
      <c r="T11" s="277" t="n"/>
      <c r="U11" s="272" t="n"/>
      <c r="V11" s="278" t="n"/>
      <c r="W11" s="279" t="n"/>
      <c r="X11" s="391">
        <f>(U11/($U$2/$U$3))</f>
        <v/>
      </c>
      <c r="Y11" s="391">
        <f>(V11/($V$2/$V$3))</f>
        <v/>
      </c>
      <c r="Z11" s="391">
        <f>(W11/($W$2/$W$3))</f>
        <v/>
      </c>
      <c r="AA11" s="391">
        <f>(Y11)/SQRT(((Z11+X11)/2))</f>
        <v/>
      </c>
      <c r="AB11" s="391">
        <f>IF(AA11&lt;3,"NINGUNO",IF(AA11&lt;=9,"LEVE O MODERADO","SEVERO"))</f>
        <v/>
      </c>
      <c r="AC11" s="280">
        <f>5*5</f>
        <v/>
      </c>
      <c r="AD11" s="280" t="n">
        <v>1</v>
      </c>
      <c r="AE11" s="280" t="n">
        <v>1</v>
      </c>
    </row>
    <row r="12" ht="15.75" customFormat="1" customHeight="1" s="302" thickBot="1">
      <c r="B12" s="237" t="inlineStr">
        <is>
          <t>M2</t>
        </is>
      </c>
      <c r="C12" s="237" t="n"/>
      <c r="D12" s="237" t="n"/>
      <c r="E12" s="237" t="n"/>
      <c r="F12" s="220" t="n"/>
      <c r="G12" s="393" t="n"/>
      <c r="H12" s="394" t="n"/>
      <c r="I12" s="395" t="n"/>
      <c r="J12" s="396" t="n"/>
      <c r="K12" s="247" t="n"/>
      <c r="L12" s="246" t="n"/>
      <c r="M12" s="247" t="n"/>
      <c r="N12" s="394" t="n"/>
      <c r="O12" s="394" t="n"/>
      <c r="P12" s="234" t="n"/>
      <c r="Q12" s="397" t="n"/>
      <c r="R12" s="394" t="n"/>
      <c r="S12" s="254" t="n"/>
      <c r="T12" s="248" t="n"/>
      <c r="U12" s="246" t="n"/>
      <c r="V12" s="255" t="n"/>
      <c r="W12" s="238" t="n"/>
      <c r="X12" s="396">
        <f>(U12/($U$2/$U$3))</f>
        <v/>
      </c>
      <c r="Y12" s="396">
        <f>(V12/($V$2/$V$3))</f>
        <v/>
      </c>
      <c r="Z12" s="396">
        <f>(W12/($W$2/$W$3))</f>
        <v/>
      </c>
      <c r="AA12" s="396">
        <f>(Y12)/SQRT(((Z12+X12)/2))</f>
        <v/>
      </c>
      <c r="AB12" s="396">
        <f>IF(AA12&lt;3,"NINGUNO",IF(AA12&lt;=9,"LEVE O MODERADO","SEVERO"))</f>
        <v/>
      </c>
      <c r="AC12" s="238" t="inlineStr">
        <is>
          <t>-</t>
        </is>
      </c>
      <c r="AD12" s="238" t="inlineStr">
        <is>
          <t>-</t>
        </is>
      </c>
      <c r="AE12" s="238" t="inlineStr">
        <is>
          <t>-</t>
        </is>
      </c>
    </row>
    <row r="13" ht="15.75" customFormat="1" customHeight="1" s="302" thickBot="1">
      <c r="B13" s="237" t="inlineStr">
        <is>
          <t>M3</t>
        </is>
      </c>
      <c r="C13" s="237" t="n"/>
      <c r="D13" s="237" t="n"/>
      <c r="E13" s="237" t="n"/>
      <c r="F13" s="220" t="n"/>
      <c r="G13" s="393" t="n"/>
      <c r="H13" s="397" t="n"/>
      <c r="I13" s="395" t="n"/>
      <c r="J13" s="398" t="n"/>
      <c r="K13" s="247" t="n"/>
      <c r="L13" s="246" t="n"/>
      <c r="M13" s="247" t="n"/>
      <c r="N13" s="394" t="n"/>
      <c r="O13" s="250" t="n"/>
      <c r="P13" s="234" t="n"/>
      <c r="Q13" s="258" t="n"/>
      <c r="R13" s="394" t="n"/>
      <c r="S13" s="254" t="n"/>
      <c r="T13" s="248" t="n"/>
      <c r="U13" s="246" t="n"/>
      <c r="V13" s="255" t="n"/>
      <c r="W13" s="238" t="n"/>
      <c r="X13" s="396">
        <f>(U13/($U$2/$U$3))</f>
        <v/>
      </c>
      <c r="Y13" s="396">
        <f>(V13/($V$2/$V$3))</f>
        <v/>
      </c>
      <c r="Z13" s="396">
        <f>(W13/($W$2/$W$3))</f>
        <v/>
      </c>
      <c r="AA13" s="396">
        <f>(Y13)/SQRT(((Z13+X13)/2))</f>
        <v/>
      </c>
      <c r="AB13" s="396">
        <f>IF(AA13&lt;3,"NINGUNO",IF(AA13&lt;=9,"LEVE O MODERADO","SEVERO"))</f>
        <v/>
      </c>
      <c r="AC13" s="238" t="inlineStr">
        <is>
          <t>-</t>
        </is>
      </c>
      <c r="AD13" s="238" t="inlineStr">
        <is>
          <t>-</t>
        </is>
      </c>
      <c r="AE13" s="238" t="inlineStr">
        <is>
          <t>-</t>
        </is>
      </c>
    </row>
    <row r="14" ht="15.75" customFormat="1" customHeight="1" s="302" thickBot="1">
      <c r="B14" s="237" t="inlineStr">
        <is>
          <t>M4</t>
        </is>
      </c>
      <c r="C14" s="237" t="n"/>
      <c r="D14" s="237" t="n"/>
      <c r="E14" s="237" t="n"/>
      <c r="F14" s="220" t="n"/>
      <c r="G14" s="399" t="n"/>
      <c r="H14" s="394" t="n"/>
      <c r="I14" s="395" t="n"/>
      <c r="J14" s="396" t="n"/>
      <c r="K14" s="247" t="n"/>
      <c r="L14" s="246" t="n"/>
      <c r="M14" s="247" t="n"/>
      <c r="N14" s="394" t="n"/>
      <c r="O14" s="394" t="n"/>
      <c r="P14" s="234" t="n"/>
      <c r="Q14" s="258" t="n"/>
      <c r="R14" s="394" t="n"/>
      <c r="S14" s="254" t="n"/>
      <c r="T14" s="248" t="n"/>
      <c r="U14" s="246" t="n"/>
      <c r="V14" s="255" t="n"/>
      <c r="W14" s="238" t="n"/>
      <c r="X14" s="396">
        <f>(U14/($U$2/$U$3))</f>
        <v/>
      </c>
      <c r="Y14" s="396">
        <f>(V14/($V$2/$V$3))</f>
        <v/>
      </c>
      <c r="Z14" s="396">
        <f>(W14/($W$2/$W$3))</f>
        <v/>
      </c>
      <c r="AA14" s="396">
        <f>(Y14)/SQRT(((Z14+X14)/2))</f>
        <v/>
      </c>
      <c r="AB14" s="396">
        <f>IF(AA14&lt;3,"NINGUNO",IF(AA14&lt;=9,"LEVE O MODERADO","SEVERO"))</f>
        <v/>
      </c>
      <c r="AC14" s="238" t="inlineStr">
        <is>
          <t>-</t>
        </is>
      </c>
      <c r="AD14" s="238" t="inlineStr">
        <is>
          <t>-</t>
        </is>
      </c>
      <c r="AE14" s="238" t="inlineStr">
        <is>
          <t>-</t>
        </is>
      </c>
    </row>
    <row r="15" ht="15.75" customFormat="1" customHeight="1" s="302" thickBot="1">
      <c r="B15" s="237" t="inlineStr">
        <is>
          <t>M5</t>
        </is>
      </c>
      <c r="C15" s="237" t="n"/>
      <c r="D15" s="237" t="n"/>
      <c r="E15" s="237" t="n"/>
      <c r="F15" s="220" t="n"/>
      <c r="G15" s="399" t="n"/>
      <c r="H15" s="394" t="n"/>
      <c r="I15" s="395" t="n"/>
      <c r="J15" s="396" t="n"/>
      <c r="K15" s="247" t="n"/>
      <c r="L15" s="246" t="n"/>
      <c r="M15" s="247" t="n"/>
      <c r="N15" s="394" t="n"/>
      <c r="O15" s="250" t="n"/>
      <c r="P15" s="234" t="n"/>
      <c r="Q15" s="397" t="n"/>
      <c r="R15" s="394" t="n"/>
      <c r="S15" s="254" t="n"/>
      <c r="T15" s="248" t="n"/>
      <c r="U15" s="246" t="n"/>
      <c r="V15" s="255" t="n"/>
      <c r="W15" s="238" t="n"/>
      <c r="X15" s="396">
        <f>(U15/($U$2/$U$3))</f>
        <v/>
      </c>
      <c r="Y15" s="396">
        <f>(V15/($V$2/$V$3))</f>
        <v/>
      </c>
      <c r="Z15" s="396">
        <f>(W15/($W$2/$W$3))</f>
        <v/>
      </c>
      <c r="AA15" s="396">
        <f>(Y15)/SQRT(((Z15+X15)/2))</f>
        <v/>
      </c>
      <c r="AB15" s="396">
        <f>IF(AA15&lt;3,"NINGUNO",IF(AA15&lt;=9,"LEVE O MODERADO","SEVERO"))</f>
        <v/>
      </c>
      <c r="AC15" s="238" t="inlineStr">
        <is>
          <t>-</t>
        </is>
      </c>
      <c r="AD15" s="238" t="inlineStr">
        <is>
          <t>-</t>
        </is>
      </c>
      <c r="AE15" s="238" t="inlineStr">
        <is>
          <t>-</t>
        </is>
      </c>
    </row>
    <row r="16" ht="15.75" customFormat="1" customHeight="1" s="301" thickBot="1">
      <c r="B16" s="265" t="inlineStr">
        <is>
          <t>M6</t>
        </is>
      </c>
      <c r="C16" s="265" t="n"/>
      <c r="D16" s="265" t="n"/>
      <c r="E16" s="265" t="n"/>
      <c r="F16" s="266" t="n"/>
      <c r="G16" s="400" t="n"/>
      <c r="H16" s="392" t="n"/>
      <c r="I16" s="401" t="n"/>
      <c r="J16" s="391" t="n"/>
      <c r="K16" s="271" t="n"/>
      <c r="L16" s="272" t="n"/>
      <c r="M16" s="271" t="n"/>
      <c r="N16" s="392" t="n"/>
      <c r="O16" s="274" t="n"/>
      <c r="P16" s="275" t="n"/>
      <c r="Q16" s="283" t="n"/>
      <c r="R16" s="392" t="n"/>
      <c r="S16" s="276" t="n"/>
      <c r="T16" s="277" t="n"/>
      <c r="U16" s="272" t="n"/>
      <c r="V16" s="278" t="n"/>
      <c r="W16" s="279" t="n"/>
      <c r="X16" s="391">
        <f>(U16/($U$2/$U$3))</f>
        <v/>
      </c>
      <c r="Y16" s="391">
        <f>(V16/($V$2/$V$3))</f>
        <v/>
      </c>
      <c r="Z16" s="391">
        <f>(W16/($W$2/$W$3))</f>
        <v/>
      </c>
      <c r="AA16" s="391">
        <f>(Y16)/SQRT(((Z16+X16)/2))</f>
        <v/>
      </c>
      <c r="AB16" s="391">
        <f>IF(AA16&lt;3,"NINGUNO",IF(AA16&lt;=9,"LEVE O MODERADO","SEVERO"))</f>
        <v/>
      </c>
      <c r="AC16" s="280" t="n">
        <v>60</v>
      </c>
      <c r="AD16" s="281" t="n">
        <v>0</v>
      </c>
      <c r="AE16" s="281" t="n">
        <v>0</v>
      </c>
    </row>
    <row r="17" ht="15.75" customFormat="1" customHeight="1" s="302" thickBot="1">
      <c r="B17" s="237" t="inlineStr">
        <is>
          <t>M7</t>
        </is>
      </c>
      <c r="C17" s="237" t="n"/>
      <c r="D17" s="237" t="n"/>
      <c r="E17" s="237" t="n"/>
      <c r="F17" s="220" t="n"/>
      <c r="G17" s="399" t="n"/>
      <c r="H17" s="394" t="n"/>
      <c r="I17" s="395" t="n"/>
      <c r="J17" s="396" t="n"/>
      <c r="K17" s="247" t="n"/>
      <c r="L17" s="246" t="n"/>
      <c r="M17" s="247" t="n"/>
      <c r="N17" s="394" t="n"/>
      <c r="O17" s="250" t="n"/>
      <c r="P17" s="234" t="n"/>
      <c r="Q17" s="258" t="n"/>
      <c r="R17" s="394" t="n"/>
      <c r="S17" s="254" t="n"/>
      <c r="T17" s="248" t="n"/>
      <c r="U17" s="246" t="n"/>
      <c r="V17" s="255" t="n"/>
      <c r="W17" s="238" t="n"/>
      <c r="X17" s="396">
        <f>(U17/($U$2/$U$3))</f>
        <v/>
      </c>
      <c r="Y17" s="396">
        <f>(V17/($V$2/$V$3))</f>
        <v/>
      </c>
      <c r="Z17" s="396">
        <f>(W17/($W$2/$W$3))</f>
        <v/>
      </c>
      <c r="AA17" s="396">
        <f>(Y17)/SQRT(((Z17+X17)/2))</f>
        <v/>
      </c>
      <c r="AB17" s="396">
        <f>IF(AA17&lt;3,"NINGUNO",IF(AA17&lt;=9,"LEVE O MODERADO","SEVERO"))</f>
        <v/>
      </c>
      <c r="AC17" s="238" t="inlineStr">
        <is>
          <t>-</t>
        </is>
      </c>
      <c r="AD17" s="238" t="inlineStr">
        <is>
          <t>-</t>
        </is>
      </c>
      <c r="AE17" s="238" t="inlineStr">
        <is>
          <t>-</t>
        </is>
      </c>
    </row>
    <row r="18" ht="15.75" customFormat="1" customHeight="1" s="301" thickBot="1">
      <c r="B18" s="265" t="inlineStr">
        <is>
          <t>M8</t>
        </is>
      </c>
      <c r="C18" s="265" t="n"/>
      <c r="D18" s="265" t="n"/>
      <c r="E18" s="265" t="n"/>
      <c r="F18" s="266" t="n"/>
      <c r="G18" s="400" t="n"/>
      <c r="H18" s="392" t="n"/>
      <c r="I18" s="401" t="n"/>
      <c r="J18" s="391" t="n"/>
      <c r="K18" s="271" t="n"/>
      <c r="L18" s="272" t="n"/>
      <c r="M18" s="271" t="n"/>
      <c r="N18" s="392" t="n"/>
      <c r="O18" s="274" t="n"/>
      <c r="P18" s="275" t="n"/>
      <c r="Q18" s="283" t="n"/>
      <c r="R18" s="392" t="n"/>
      <c r="S18" s="276" t="n"/>
      <c r="T18" s="277" t="n"/>
      <c r="U18" s="272" t="n"/>
      <c r="V18" s="278" t="n"/>
      <c r="W18" s="279" t="n"/>
      <c r="X18" s="391">
        <f>(U18/($U$2/$U$3))</f>
        <v/>
      </c>
      <c r="Y18" s="391">
        <f>(V18/($V$2/$V$3))</f>
        <v/>
      </c>
      <c r="Z18" s="391">
        <f>(W18/($W$2/$W$3))</f>
        <v/>
      </c>
      <c r="AA18" s="391">
        <f>(Y18)/SQRT(((Z18+X18)/2))</f>
        <v/>
      </c>
      <c r="AB18" s="391">
        <f>IF(AA18&lt;3,"NINGUNO",IF(AA18&lt;=9,"LEVE O MODERADO","SEVERO"))</f>
        <v/>
      </c>
      <c r="AC18" s="280" t="n">
        <v>40</v>
      </c>
      <c r="AD18" s="280" t="n">
        <v>2</v>
      </c>
      <c r="AE18" s="280" t="n">
        <v>2</v>
      </c>
    </row>
    <row r="19" ht="15.75" customFormat="1" customHeight="1" s="301" thickBot="1">
      <c r="B19" s="265" t="inlineStr">
        <is>
          <t>M9</t>
        </is>
      </c>
      <c r="C19" s="265" t="n"/>
      <c r="D19" s="265" t="n"/>
      <c r="E19" s="265" t="n"/>
      <c r="F19" s="266" t="n"/>
      <c r="G19" s="400" t="n"/>
      <c r="H19" s="392" t="n"/>
      <c r="I19" s="401" t="n"/>
      <c r="J19" s="391" t="n"/>
      <c r="K19" s="271" t="n"/>
      <c r="L19" s="272" t="n"/>
      <c r="M19" s="271" t="n"/>
      <c r="N19" s="392" t="n"/>
      <c r="O19" s="274" t="n"/>
      <c r="P19" s="275" t="n"/>
      <c r="Q19" s="402" t="n"/>
      <c r="R19" s="392" t="n"/>
      <c r="S19" s="276" t="n"/>
      <c r="T19" s="277" t="n"/>
      <c r="U19" s="272" t="n"/>
      <c r="V19" s="278" t="n"/>
      <c r="W19" s="279" t="n"/>
      <c r="X19" s="391">
        <f>(U19/($U$2/$U$3))</f>
        <v/>
      </c>
      <c r="Y19" s="391">
        <f>(V19/($V$2/$V$3))</f>
        <v/>
      </c>
      <c r="Z19" s="391">
        <f>(W19/($W$2/$W$3))</f>
        <v/>
      </c>
      <c r="AA19" s="391">
        <f>(Y19)/SQRT(((Z19+X19)/2))</f>
        <v/>
      </c>
      <c r="AB19" s="391">
        <f>IF(AA19&lt;3,"NINGUNO",IF(AA19&lt;=9,"LEVE O MODERADO","SEVERO"))</f>
        <v/>
      </c>
      <c r="AC19" s="280" t="n">
        <v>50</v>
      </c>
      <c r="AD19" s="281" t="n">
        <v>0</v>
      </c>
      <c r="AE19" s="281" t="n">
        <v>0</v>
      </c>
    </row>
    <row r="20" ht="15.75" customFormat="1" customHeight="1" s="301" thickBot="1">
      <c r="B20" s="265" t="inlineStr">
        <is>
          <t>M10</t>
        </is>
      </c>
      <c r="C20" s="265" t="n"/>
      <c r="D20" s="265" t="n"/>
      <c r="E20" s="265" t="n"/>
      <c r="F20" s="266" t="n"/>
      <c r="G20" s="400" t="n"/>
      <c r="H20" s="392" t="n"/>
      <c r="I20" s="401" t="n"/>
      <c r="J20" s="391" t="n"/>
      <c r="K20" s="271" t="n"/>
      <c r="L20" s="272" t="n"/>
      <c r="M20" s="271" t="n"/>
      <c r="N20" s="392" t="n"/>
      <c r="O20" s="274" t="n"/>
      <c r="P20" s="275" t="n"/>
      <c r="Q20" s="283" t="n"/>
      <c r="R20" s="392" t="n"/>
      <c r="S20" s="276" t="n"/>
      <c r="T20" s="277" t="n"/>
      <c r="U20" s="272" t="n"/>
      <c r="V20" s="278" t="n"/>
      <c r="W20" s="279" t="n"/>
      <c r="X20" s="391">
        <f>(U20/($U$2/$U$3))</f>
        <v/>
      </c>
      <c r="Y20" s="391">
        <f>(V20/($V$2/$V$3))</f>
        <v/>
      </c>
      <c r="Z20" s="391">
        <f>(W20/($W$2/$W$3))</f>
        <v/>
      </c>
      <c r="AA20" s="391">
        <f>(Y20)/SQRT(((Z20+X20)/2))</f>
        <v/>
      </c>
      <c r="AB20" s="391">
        <f>IF(AA20&lt;3,"NINGUNO",IF(AA20&lt;=9,"LEVE O MODERADO","SEVERO"))</f>
        <v/>
      </c>
      <c r="AC20" s="280" t="n">
        <v>70</v>
      </c>
      <c r="AD20" s="281" t="n">
        <v>0</v>
      </c>
      <c r="AE20" s="281" t="n">
        <v>0</v>
      </c>
    </row>
    <row r="21" ht="15.75" customFormat="1" customHeight="1" s="301" thickBot="1">
      <c r="B21" s="265" t="inlineStr">
        <is>
          <t>M11</t>
        </is>
      </c>
      <c r="C21" s="265" t="n"/>
      <c r="D21" s="265" t="n"/>
      <c r="E21" s="265" t="n"/>
      <c r="F21" s="266" t="n"/>
      <c r="G21" s="400" t="n"/>
      <c r="H21" s="392" t="n"/>
      <c r="I21" s="401" t="n"/>
      <c r="J21" s="391" t="n"/>
      <c r="K21" s="272" t="n"/>
      <c r="L21" s="272" t="n"/>
      <c r="M21" s="271" t="n"/>
      <c r="N21" s="392" t="n"/>
      <c r="O21" s="392" t="n"/>
      <c r="P21" s="275" t="n"/>
      <c r="Q21" s="283" t="n"/>
      <c r="R21" s="392" t="n"/>
      <c r="S21" s="276" t="n"/>
      <c r="T21" s="277" t="n"/>
      <c r="U21" s="272" t="n"/>
      <c r="V21" s="278" t="n"/>
      <c r="W21" s="279" t="n"/>
      <c r="X21" s="391">
        <f>(U21/($U$2/$U$3))</f>
        <v/>
      </c>
      <c r="Y21" s="391">
        <f>(V21/($V$2/$V$3))</f>
        <v/>
      </c>
      <c r="Z21" s="391">
        <f>(W21/($W$2/$W$3))</f>
        <v/>
      </c>
      <c r="AA21" s="391">
        <f>(Y21)/SQRT(((Z21+X21)/2))</f>
        <v/>
      </c>
      <c r="AB21" s="391">
        <f>IF(AA21&lt;3,"NINGUNO",IF(AA21&lt;=9,"LEVE O MODERADO","SEVERO"))</f>
        <v/>
      </c>
      <c r="AC21" s="280" t="n">
        <v>50</v>
      </c>
      <c r="AD21" s="280" t="n">
        <v>5</v>
      </c>
      <c r="AE21" s="280" t="n">
        <v>5</v>
      </c>
    </row>
    <row r="22" ht="15.75" customFormat="1" customHeight="1" s="302" thickBot="1">
      <c r="B22" s="237" t="inlineStr">
        <is>
          <t>M12</t>
        </is>
      </c>
      <c r="C22" s="237" t="n"/>
      <c r="D22" s="237" t="n"/>
      <c r="E22" s="237" t="n"/>
      <c r="F22" s="220" t="n"/>
      <c r="G22" s="393" t="n"/>
      <c r="H22" s="394" t="n"/>
      <c r="I22" s="395" t="n"/>
      <c r="J22" s="396" t="n"/>
      <c r="K22" s="247" t="n"/>
      <c r="L22" s="246" t="n"/>
      <c r="M22" s="247" t="n"/>
      <c r="N22" s="394" t="n"/>
      <c r="O22" s="250" t="n"/>
      <c r="P22" s="234" t="n"/>
      <c r="Q22" s="258" t="n"/>
      <c r="R22" s="394" t="n"/>
      <c r="S22" s="254" t="n"/>
      <c r="T22" s="248" t="n"/>
      <c r="U22" s="246" t="n"/>
      <c r="V22" s="255" t="n"/>
      <c r="W22" s="238" t="n"/>
      <c r="X22" s="396">
        <f>(U22/($U$2/$U$3))</f>
        <v/>
      </c>
      <c r="Y22" s="396">
        <f>(V22/($V$2/$V$3))</f>
        <v/>
      </c>
      <c r="Z22" s="396">
        <f>(W22/($W$2/$W$3))</f>
        <v/>
      </c>
      <c r="AA22" s="396">
        <f>(Y22)/SQRT(((Z22+X22)/2))</f>
        <v/>
      </c>
      <c r="AB22" s="396">
        <f>IF(AA22&lt;3,"NINGUNO",IF(AA22&lt;=9,"LEVE O MODERADO","SEVERO"))</f>
        <v/>
      </c>
      <c r="AC22" s="253" t="inlineStr">
        <is>
          <t>-</t>
        </is>
      </c>
      <c r="AD22" s="253" t="inlineStr">
        <is>
          <t>-</t>
        </is>
      </c>
      <c r="AE22" s="253" t="inlineStr">
        <is>
          <t>-</t>
        </is>
      </c>
    </row>
    <row r="23" ht="15.75" customFormat="1" customHeight="1" s="301" thickBot="1">
      <c r="B23" s="265" t="inlineStr">
        <is>
          <t>M13</t>
        </is>
      </c>
      <c r="C23" s="265" t="n"/>
      <c r="D23" s="265" t="n"/>
      <c r="E23" s="265" t="n"/>
      <c r="F23" s="266" t="n"/>
      <c r="G23" s="400" t="n"/>
      <c r="H23" s="392" t="n"/>
      <c r="I23" s="401" t="n"/>
      <c r="J23" s="391" t="n"/>
      <c r="K23" s="272" t="n"/>
      <c r="L23" s="272" t="n"/>
      <c r="M23" s="271" t="n"/>
      <c r="N23" s="392" t="n"/>
      <c r="O23" s="274" t="n"/>
      <c r="P23" s="275" t="n"/>
      <c r="Q23" s="283" t="n"/>
      <c r="R23" s="392" t="n"/>
      <c r="S23" s="276" t="n"/>
      <c r="T23" s="277" t="n"/>
      <c r="U23" s="272" t="n"/>
      <c r="V23" s="278" t="n"/>
      <c r="W23" s="279" t="n"/>
      <c r="X23" s="391">
        <f>(U23/($U$2/$U$3))</f>
        <v/>
      </c>
      <c r="Y23" s="391">
        <f>(V23/($V$2/$V$3))</f>
        <v/>
      </c>
      <c r="Z23" s="391">
        <f>(W23/($W$2/$W$3))</f>
        <v/>
      </c>
      <c r="AA23" s="391">
        <f>(Y23)/SQRT(((Z23+X23)/2))</f>
        <v/>
      </c>
      <c r="AB23" s="391">
        <f>IF(AA23&lt;3,"NINGUNO",IF(AA23&lt;=9,"LEVE O MODERADO","SEVERO"))</f>
        <v/>
      </c>
      <c r="AC23" s="280" t="n">
        <v>20</v>
      </c>
      <c r="AD23" s="281" t="n">
        <v>0</v>
      </c>
      <c r="AE23" s="281" t="n">
        <v>0</v>
      </c>
    </row>
    <row r="24" ht="15.75" customFormat="1" customHeight="1" s="302" thickBot="1">
      <c r="B24" s="237" t="inlineStr">
        <is>
          <t>M14</t>
        </is>
      </c>
      <c r="C24" s="237" t="n"/>
      <c r="D24" s="237" t="n"/>
      <c r="E24" s="237" t="n"/>
      <c r="F24" s="220" t="n"/>
      <c r="G24" s="393" t="n"/>
      <c r="H24" s="394" t="n"/>
      <c r="I24" s="395" t="n"/>
      <c r="J24" s="396" t="n"/>
      <c r="K24" s="246" t="n"/>
      <c r="L24" s="246" t="n"/>
      <c r="M24" s="247" t="n"/>
      <c r="N24" s="394" t="n"/>
      <c r="O24" s="250" t="n"/>
      <c r="P24" s="234" t="n"/>
      <c r="Q24" s="258" t="n"/>
      <c r="R24" s="394" t="n"/>
      <c r="S24" s="254" t="n"/>
      <c r="T24" s="248" t="n"/>
      <c r="U24" s="246" t="n"/>
      <c r="V24" s="255" t="n"/>
      <c r="W24" s="238" t="n"/>
      <c r="X24" s="396">
        <f>(U24/($U$2/$U$3))</f>
        <v/>
      </c>
      <c r="Y24" s="396">
        <f>(V24/($V$2/$V$3))</f>
        <v/>
      </c>
      <c r="Z24" s="396">
        <f>(W24/($W$2/$W$3))</f>
        <v/>
      </c>
      <c r="AA24" s="396">
        <f>(Y24)/SQRT(((Z24+X24)/2))</f>
        <v/>
      </c>
      <c r="AB24" s="396">
        <f>IF(AA24&lt;3,"NINGUNO",IF(AA24&lt;=9,"LEVE O MODERADO","SEVERO"))</f>
        <v/>
      </c>
      <c r="AC24" s="264" t="inlineStr">
        <is>
          <t>-</t>
        </is>
      </c>
      <c r="AD24" s="238" t="inlineStr">
        <is>
          <t>-</t>
        </is>
      </c>
      <c r="AE24" s="238" t="inlineStr">
        <is>
          <t>-</t>
        </is>
      </c>
    </row>
    <row r="25" ht="15.75" customFormat="1" customHeight="1" s="301" thickBot="1">
      <c r="B25" s="265" t="inlineStr">
        <is>
          <t>M15</t>
        </is>
      </c>
      <c r="C25" s="265" t="n"/>
      <c r="D25" s="265" t="n"/>
      <c r="E25" s="265" t="n"/>
      <c r="F25" s="266" t="n"/>
      <c r="G25" s="403" t="n"/>
      <c r="H25" s="392" t="n"/>
      <c r="I25" s="401" t="n"/>
      <c r="J25" s="404" t="n"/>
      <c r="K25" s="392" t="n"/>
      <c r="L25" s="272" t="n"/>
      <c r="M25" s="271" t="n"/>
      <c r="N25" s="392" t="n"/>
      <c r="O25" s="392" t="n"/>
      <c r="P25" s="275" t="n"/>
      <c r="Q25" s="283" t="n"/>
      <c r="R25" s="392" t="n"/>
      <c r="S25" s="276" t="n"/>
      <c r="T25" s="277" t="n"/>
      <c r="U25" s="272" t="n"/>
      <c r="V25" s="278" t="n"/>
      <c r="W25" s="279" t="n"/>
      <c r="X25" s="391">
        <f>(U25/($U$2/$U$3))</f>
        <v/>
      </c>
      <c r="Y25" s="391">
        <f>(V25/($V$2/$V$3))</f>
        <v/>
      </c>
      <c r="Z25" s="391">
        <f>(W25/($W$2/$W$3))</f>
        <v/>
      </c>
      <c r="AA25" s="391">
        <f>(Y25)/SQRT(((Z25+X25)/2))</f>
        <v/>
      </c>
      <c r="AB25" s="391">
        <f>IF(AA25&lt;3,"NINGUNO",IF(AA25&lt;=9,"LEVE O MODERADO","SEVERO"))</f>
        <v/>
      </c>
      <c r="AC25" s="280" t="n">
        <v>50</v>
      </c>
      <c r="AD25" s="281" t="n">
        <v>0</v>
      </c>
      <c r="AE25" s="281" t="n">
        <v>0</v>
      </c>
    </row>
    <row r="26" ht="15.75" customFormat="1" customHeight="1" s="301" thickBot="1">
      <c r="B26" s="265" t="inlineStr">
        <is>
          <t>M16</t>
        </is>
      </c>
      <c r="C26" s="265" t="n"/>
      <c r="D26" s="265" t="n"/>
      <c r="E26" s="265" t="n"/>
      <c r="F26" s="266" t="n"/>
      <c r="G26" s="405" t="n"/>
      <c r="H26" s="406" t="n"/>
      <c r="I26" s="407" t="n"/>
      <c r="J26" s="406" t="n"/>
      <c r="K26" s="271" t="n"/>
      <c r="L26" s="272" t="n"/>
      <c r="M26" s="271" t="n"/>
      <c r="N26" s="406" t="n"/>
      <c r="O26" s="392" t="n"/>
      <c r="P26" s="275" t="n"/>
      <c r="Q26" s="283" t="n"/>
      <c r="R26" s="392" t="n"/>
      <c r="S26" s="276" t="n"/>
      <c r="T26" s="277" t="n"/>
      <c r="U26" s="272" t="n"/>
      <c r="V26" s="278" t="n"/>
      <c r="W26" s="279" t="n"/>
      <c r="X26" s="391">
        <f>(U26/($U$2/$U$3))</f>
        <v/>
      </c>
      <c r="Y26" s="391">
        <f>(V26/($V$2/$V$3))</f>
        <v/>
      </c>
      <c r="Z26" s="391">
        <f>(W26/($W$2/$W$3))</f>
        <v/>
      </c>
      <c r="AA26" s="391">
        <f>(Y26)/SQRT(((Z26+X26)/2))</f>
        <v/>
      </c>
      <c r="AB26" s="391">
        <f>IF(AA26&lt;3,"NINGUNO",IF(AA26&lt;=9,"LEVE O MODERADO","SEVERO"))</f>
        <v/>
      </c>
      <c r="AC26" s="280" t="n">
        <v>80</v>
      </c>
      <c r="AD26" s="280" t="n">
        <v>1</v>
      </c>
      <c r="AE26" s="280" t="n">
        <v>1</v>
      </c>
    </row>
    <row r="27" ht="15.75" customFormat="1" customHeight="1" s="302" thickBot="1">
      <c r="B27" s="237" t="inlineStr">
        <is>
          <t>M17</t>
        </is>
      </c>
      <c r="C27" s="237" t="n"/>
      <c r="D27" s="237" t="n"/>
      <c r="E27" s="237" t="n"/>
      <c r="F27" s="220" t="n"/>
      <c r="G27" s="393" t="n"/>
      <c r="H27" s="394" t="n"/>
      <c r="I27" s="393" t="n"/>
      <c r="J27" s="394" t="n"/>
      <c r="K27" s="247" t="n"/>
      <c r="L27" s="246" t="n"/>
      <c r="M27" s="247" t="n"/>
      <c r="N27" s="394" t="n"/>
      <c r="O27" s="394" t="n"/>
      <c r="P27" s="234" t="n"/>
      <c r="Q27" s="258" t="n"/>
      <c r="R27" s="394" t="n"/>
      <c r="S27" s="254" t="n"/>
      <c r="T27" s="248" t="n"/>
      <c r="U27" s="246" t="n"/>
      <c r="V27" s="255" t="n"/>
      <c r="W27" s="238" t="n"/>
      <c r="X27" s="396">
        <f>(U27/($U$2/$U$3))</f>
        <v/>
      </c>
      <c r="Y27" s="396">
        <f>(V27/($V$2/$V$3))</f>
        <v/>
      </c>
      <c r="Z27" s="396">
        <f>(W27/($W$2/$W$3))</f>
        <v/>
      </c>
      <c r="AA27" s="396">
        <f>(Y27)/SQRT(((Z27+X27)/2))</f>
        <v/>
      </c>
      <c r="AB27" s="396">
        <f>IF(AA27&lt;3,"NINGUNO",IF(AA27&lt;=9,"LEVE O MODERADO","SEVERO"))</f>
        <v/>
      </c>
      <c r="AC27" s="253" t="inlineStr">
        <is>
          <t>-</t>
        </is>
      </c>
      <c r="AD27" s="253" t="inlineStr">
        <is>
          <t>-</t>
        </is>
      </c>
      <c r="AE27" s="253" t="inlineStr">
        <is>
          <t>-</t>
        </is>
      </c>
    </row>
    <row r="28" ht="15.75" customFormat="1" customHeight="1" s="301" thickBot="1">
      <c r="B28" s="265" t="inlineStr">
        <is>
          <t>M18</t>
        </is>
      </c>
      <c r="C28" s="265" t="n"/>
      <c r="D28" s="265" t="n"/>
      <c r="E28" s="265" t="n"/>
      <c r="F28" s="266" t="n"/>
      <c r="G28" s="400" t="n"/>
      <c r="H28" s="392" t="n"/>
      <c r="I28" s="401" t="n"/>
      <c r="J28" s="391" t="n"/>
      <c r="K28" s="272" t="n"/>
      <c r="L28" s="272" t="n"/>
      <c r="M28" s="271" t="n"/>
      <c r="N28" s="392" t="n"/>
      <c r="O28" s="392" t="n"/>
      <c r="P28" s="275" t="n"/>
      <c r="Q28" s="283" t="n"/>
      <c r="R28" s="392" t="n"/>
      <c r="S28" s="276" t="n"/>
      <c r="T28" s="277" t="n"/>
      <c r="U28" s="272" t="n"/>
      <c r="V28" s="278" t="n"/>
      <c r="W28" s="279" t="n"/>
      <c r="X28" s="391">
        <f>(U28/($U$2/$U$3))</f>
        <v/>
      </c>
      <c r="Y28" s="391">
        <f>(V28/($V$2/$V$3))</f>
        <v/>
      </c>
      <c r="Z28" s="391">
        <f>(W28/($W$2/$W$3))</f>
        <v/>
      </c>
      <c r="AA28" s="391">
        <f>(Y28)/SQRT(((Z28+X28)/2))</f>
        <v/>
      </c>
      <c r="AB28" s="391">
        <f>IF(AA28&lt;3,"NINGUNO",IF(AA28&lt;=9,"LEVE O MODERADO","SEVERO"))</f>
        <v/>
      </c>
      <c r="AC28" s="280" t="n">
        <v>100</v>
      </c>
      <c r="AD28" s="279" t="n">
        <v>0</v>
      </c>
      <c r="AE28" s="279" t="n">
        <v>0</v>
      </c>
    </row>
    <row r="29" ht="15.75" customFormat="1" customHeight="1" s="301" thickBot="1">
      <c r="B29" s="265" t="inlineStr">
        <is>
          <t>M19</t>
        </is>
      </c>
      <c r="C29" s="265" t="n"/>
      <c r="D29" s="265" t="n"/>
      <c r="E29" s="265" t="n"/>
      <c r="F29" s="266" t="n"/>
      <c r="G29" s="400" t="n"/>
      <c r="H29" s="392" t="n"/>
      <c r="I29" s="400" t="n"/>
      <c r="J29" s="391" t="n"/>
      <c r="K29" s="271" t="n"/>
      <c r="L29" s="391" t="n"/>
      <c r="M29" s="271" t="n"/>
      <c r="N29" s="392" t="n"/>
      <c r="O29" s="392" t="n"/>
      <c r="P29" s="275" t="n"/>
      <c r="Q29" s="283" t="n"/>
      <c r="R29" s="392" t="n"/>
      <c r="S29" s="276" t="n"/>
      <c r="T29" s="277" t="n"/>
      <c r="U29" s="272" t="n"/>
      <c r="V29" s="278" t="n"/>
      <c r="W29" s="279" t="n"/>
      <c r="X29" s="391">
        <f>(U29/($U$2/$U$3))</f>
        <v/>
      </c>
      <c r="Y29" s="391">
        <f>(V29/($V$2/$V$3))</f>
        <v/>
      </c>
      <c r="Z29" s="391">
        <f>(W29/($W$2/$W$3))</f>
        <v/>
      </c>
      <c r="AA29" s="391">
        <f>(Y29)/SQRT(((Z29+X29)/2))</f>
        <v/>
      </c>
      <c r="AB29" s="391">
        <f>IF(AA29&lt;3,"NINGUNO",IF(AA29&lt;=9,"LEVE O MODERADO","SEVERO"))</f>
        <v/>
      </c>
      <c r="AC29" s="280" t="n">
        <v>75</v>
      </c>
      <c r="AD29" s="279" t="n">
        <v>0</v>
      </c>
      <c r="AE29" s="279" t="n">
        <v>0</v>
      </c>
    </row>
    <row r="30" ht="15.75" customFormat="1" customHeight="1" s="302" thickBot="1">
      <c r="B30" s="237" t="inlineStr">
        <is>
          <t>M20</t>
        </is>
      </c>
      <c r="C30" s="237" t="n"/>
      <c r="D30" s="237" t="n"/>
      <c r="E30" s="237" t="n"/>
      <c r="F30" s="220" t="n"/>
      <c r="G30" s="393" t="n"/>
      <c r="H30" s="394" t="n"/>
      <c r="I30" s="393" t="n"/>
      <c r="J30" s="396" t="n"/>
      <c r="K30" s="246" t="n"/>
      <c r="L30" s="246" t="n"/>
      <c r="M30" s="247" t="n"/>
      <c r="N30" s="394" t="n"/>
      <c r="O30" s="394" t="n"/>
      <c r="P30" s="234" t="n"/>
      <c r="Q30" s="258" t="n"/>
      <c r="R30" s="394" t="n"/>
      <c r="S30" s="254" t="n"/>
      <c r="T30" s="248" t="n"/>
      <c r="U30" s="246" t="n"/>
      <c r="V30" s="255" t="n"/>
      <c r="W30" s="238" t="n"/>
      <c r="X30" s="396">
        <f>(U30/($U$2/$U$3))</f>
        <v/>
      </c>
      <c r="Y30" s="396">
        <f>(V30/($V$2/$V$3))</f>
        <v/>
      </c>
      <c r="Z30" s="396">
        <f>(W30/($W$2/$W$3))</f>
        <v/>
      </c>
      <c r="AA30" s="396">
        <f>(Y30)/SQRT(((Z30+X30)/2))</f>
        <v/>
      </c>
      <c r="AB30" s="396">
        <f>IF(AA30&lt;3,"NINGUNO",IF(AA30&lt;=9,"LEVE O MODERADO","SEVERO"))</f>
        <v/>
      </c>
      <c r="AC30" s="253" t="inlineStr">
        <is>
          <t>-</t>
        </is>
      </c>
      <c r="AD30" s="253" t="inlineStr">
        <is>
          <t>-</t>
        </is>
      </c>
      <c r="AE30" s="253" t="inlineStr">
        <is>
          <t>-</t>
        </is>
      </c>
    </row>
    <row r="31" ht="15.75" customFormat="1" customHeight="1" s="301" thickBot="1">
      <c r="B31" s="265" t="inlineStr">
        <is>
          <t>M21</t>
        </is>
      </c>
      <c r="C31" s="265" t="n"/>
      <c r="D31" s="265" t="n"/>
      <c r="E31" s="265" t="n"/>
      <c r="F31" s="266" t="n"/>
      <c r="G31" s="400" t="n"/>
      <c r="H31" s="392" t="n"/>
      <c r="I31" s="400" t="n"/>
      <c r="J31" s="391" t="n"/>
      <c r="K31" s="271" t="n"/>
      <c r="L31" s="272" t="n"/>
      <c r="M31" s="271" t="n"/>
      <c r="N31" s="392" t="n"/>
      <c r="O31" s="274" t="n"/>
      <c r="P31" s="275" t="n"/>
      <c r="Q31" s="283" t="n"/>
      <c r="R31" s="392" t="n"/>
      <c r="S31" s="276" t="n"/>
      <c r="T31" s="277" t="n"/>
      <c r="U31" s="272" t="n"/>
      <c r="V31" s="278" t="n"/>
      <c r="W31" s="279" t="n"/>
      <c r="X31" s="391">
        <f>(U31/($U$2/$U$3))</f>
        <v/>
      </c>
      <c r="Y31" s="391">
        <f>(V31/($V$2/$V$3))</f>
        <v/>
      </c>
      <c r="Z31" s="391">
        <f>(W31/($W$2/$W$3))</f>
        <v/>
      </c>
      <c r="AA31" s="391">
        <f>(Y31)/SQRT(((Z31+X31)/2))</f>
        <v/>
      </c>
      <c r="AB31" s="391">
        <f>IF(AA31&lt;3,"NINGUNO",IF(AA31&lt;=9,"LEVE O MODERADO","SEVERO"))</f>
        <v/>
      </c>
      <c r="AC31" s="280" t="n">
        <v>50</v>
      </c>
      <c r="AD31" s="280" t="n">
        <v>2</v>
      </c>
      <c r="AE31" s="279" t="n">
        <v>0</v>
      </c>
    </row>
    <row r="32" ht="15.75" customFormat="1" customHeight="1" s="301" thickBot="1">
      <c r="B32" s="265" t="inlineStr">
        <is>
          <t>M22</t>
        </is>
      </c>
      <c r="C32" s="265" t="n"/>
      <c r="D32" s="265" t="n"/>
      <c r="E32" s="265" t="n"/>
      <c r="F32" s="266" t="n"/>
      <c r="G32" s="400" t="n"/>
      <c r="H32" s="392" t="n"/>
      <c r="I32" s="400" t="n"/>
      <c r="J32" s="391" t="n"/>
      <c r="K32" s="272" t="n"/>
      <c r="L32" s="272" t="n"/>
      <c r="M32" s="271" t="n"/>
      <c r="N32" s="392" t="n"/>
      <c r="O32" s="274" t="n"/>
      <c r="P32" s="275" t="n"/>
      <c r="Q32" s="402" t="n"/>
      <c r="R32" s="392" t="n"/>
      <c r="S32" s="276" t="n"/>
      <c r="T32" s="277" t="n"/>
      <c r="U32" s="272" t="n"/>
      <c r="V32" s="278" t="n"/>
      <c r="W32" s="279" t="n"/>
      <c r="X32" s="391">
        <f>(U32/($U$2/$U$3))</f>
        <v/>
      </c>
      <c r="Y32" s="391">
        <f>(V32/($V$2/$V$3))</f>
        <v/>
      </c>
      <c r="Z32" s="391">
        <f>(W32/($W$2/$W$3))</f>
        <v/>
      </c>
      <c r="AA32" s="391">
        <f>(Y32)/SQRT(((Z32+X32)/2))</f>
        <v/>
      </c>
      <c r="AB32" s="391">
        <f>IF(AA32&lt;3,"NINGUNO",IF(AA32&lt;=9,"LEVE O MODERADO","SEVERO"))</f>
        <v/>
      </c>
      <c r="AC32" s="280" t="n">
        <v>20</v>
      </c>
      <c r="AD32" s="279" t="n">
        <v>0</v>
      </c>
      <c r="AE32" s="279" t="n">
        <v>0</v>
      </c>
    </row>
    <row r="33" ht="15.75" customFormat="1" customHeight="1" s="301" thickBot="1">
      <c r="B33" s="265" t="inlineStr">
        <is>
          <t>M23</t>
        </is>
      </c>
      <c r="C33" s="265" t="n"/>
      <c r="D33" s="265" t="n"/>
      <c r="E33" s="265" t="n"/>
      <c r="F33" s="266" t="n"/>
      <c r="G33" s="400" t="n"/>
      <c r="H33" s="392" t="n"/>
      <c r="I33" s="400" t="n"/>
      <c r="J33" s="391" t="n"/>
      <c r="K33" s="271" t="n"/>
      <c r="L33" s="272" t="n"/>
      <c r="M33" s="271" t="n"/>
      <c r="N33" s="392" t="n"/>
      <c r="O33" s="274" t="n"/>
      <c r="P33" s="275" t="n"/>
      <c r="Q33" s="402" t="n"/>
      <c r="R33" s="392" t="n"/>
      <c r="S33" s="276" t="n"/>
      <c r="T33" s="277" t="n"/>
      <c r="U33" s="272" t="n"/>
      <c r="V33" s="278" t="n"/>
      <c r="W33" s="279" t="n"/>
      <c r="X33" s="391">
        <f>(U33/($U$2/$U$3))</f>
        <v/>
      </c>
      <c r="Y33" s="391">
        <f>(V33/($V$2/$V$3))</f>
        <v/>
      </c>
      <c r="Z33" s="391">
        <f>(W33/($W$2/$W$3))</f>
        <v/>
      </c>
      <c r="AA33" s="391">
        <f>(Y33)/SQRT(((Z33+X33)/2))</f>
        <v/>
      </c>
      <c r="AB33" s="391">
        <f>IF(AA33&lt;3,"NINGUNO",IF(AA33&lt;=9,"LEVE O MODERADO","SEVERO"))</f>
        <v/>
      </c>
      <c r="AC33" s="280" t="n">
        <v>100</v>
      </c>
      <c r="AD33" s="280" t="n">
        <v>25</v>
      </c>
      <c r="AE33" s="280" t="n">
        <v>2</v>
      </c>
    </row>
    <row r="34" ht="15.75" customFormat="1" customHeight="1" s="302" thickBot="1">
      <c r="A34" s="408" t="n"/>
      <c r="B34" s="237" t="inlineStr">
        <is>
          <t>M24</t>
        </is>
      </c>
      <c r="C34" s="237" t="n"/>
      <c r="D34" s="237" t="n"/>
      <c r="E34" s="237" t="n"/>
      <c r="F34" s="220" t="n"/>
      <c r="G34" s="393" t="n"/>
      <c r="H34" s="394" t="n"/>
      <c r="I34" s="393" t="n"/>
      <c r="J34" s="396" t="n"/>
      <c r="K34" s="247" t="n"/>
      <c r="L34" s="246" t="n"/>
      <c r="M34" s="247" t="n"/>
      <c r="N34" s="250" t="n"/>
      <c r="O34" s="250" t="n"/>
      <c r="P34" s="234" t="n"/>
      <c r="Q34" s="258" t="n"/>
      <c r="R34" s="394" t="n"/>
      <c r="S34" s="254" t="n"/>
      <c r="T34" s="248" t="n"/>
      <c r="U34" s="246" t="n"/>
      <c r="V34" s="255" t="n"/>
      <c r="W34" s="238" t="n"/>
      <c r="X34" s="396">
        <f>(U34/($U$2/$U$3))</f>
        <v/>
      </c>
      <c r="Y34" s="396">
        <f>(V34/($V$2/$V$3))</f>
        <v/>
      </c>
      <c r="Z34" s="396">
        <f>(W34/($W$2/$W$3))</f>
        <v/>
      </c>
      <c r="AA34" s="396">
        <f>(Y34)/SQRT(((Z34+X34)/2))</f>
        <v/>
      </c>
      <c r="AB34" s="396">
        <f>IF(AA34&lt;3,"NINGUNO",IF(AA34&lt;=9,"LEVE O MODERADO","SEVERO"))</f>
        <v/>
      </c>
      <c r="AC34" s="253" t="inlineStr">
        <is>
          <t>-</t>
        </is>
      </c>
      <c r="AD34" s="253" t="inlineStr">
        <is>
          <t>-</t>
        </is>
      </c>
      <c r="AE34" s="253" t="inlineStr">
        <is>
          <t>-</t>
        </is>
      </c>
    </row>
    <row r="35" ht="15.75" customFormat="1" customHeight="1" s="301" thickBot="1">
      <c r="B35" s="265" t="inlineStr">
        <is>
          <t>M25</t>
        </is>
      </c>
      <c r="C35" s="265" t="n"/>
      <c r="D35" s="265" t="n"/>
      <c r="E35" s="265" t="n"/>
      <c r="F35" s="266" t="n"/>
      <c r="G35" s="400" t="n"/>
      <c r="H35" s="392" t="n"/>
      <c r="I35" s="400" t="n"/>
      <c r="J35" s="391" t="n"/>
      <c r="K35" s="271" t="n"/>
      <c r="L35" s="272" t="n"/>
      <c r="M35" s="271" t="n"/>
      <c r="N35" s="392" t="n"/>
      <c r="O35" s="274" t="n"/>
      <c r="P35" s="275" t="n"/>
      <c r="Q35" s="402" t="n"/>
      <c r="R35" s="392" t="n"/>
      <c r="S35" s="276" t="n"/>
      <c r="T35" s="277" t="n"/>
      <c r="U35" s="272" t="n"/>
      <c r="V35" s="278" t="n"/>
      <c r="W35" s="279" t="n"/>
      <c r="X35" s="391">
        <f>(U35/($U$2/$U$3))</f>
        <v/>
      </c>
      <c r="Y35" s="391">
        <f>(V35/($V$2/$V$3))</f>
        <v/>
      </c>
      <c r="Z35" s="391">
        <f>(W35/($W$2/$W$3))</f>
        <v/>
      </c>
      <c r="AA35" s="391">
        <f>(Y35)/SQRT(((Z35+X35)/2))</f>
        <v/>
      </c>
      <c r="AB35" s="391">
        <f>IF(AA35&lt;3,"NINGUNO",IF(AA35&lt;=9,"LEVE O MODERADO","SEVERO"))</f>
        <v/>
      </c>
      <c r="AC35" s="280" t="n">
        <v>100</v>
      </c>
      <c r="AD35" s="281" t="n">
        <v>0</v>
      </c>
      <c r="AE35" s="281" t="n">
        <v>0</v>
      </c>
    </row>
    <row r="36" ht="15.75" customFormat="1" customHeight="1" s="301" thickBot="1">
      <c r="B36" s="265" t="inlineStr">
        <is>
          <t>M26</t>
        </is>
      </c>
      <c r="C36" s="265" t="n"/>
      <c r="D36" s="265" t="n"/>
      <c r="E36" s="265" t="n"/>
      <c r="F36" s="266" t="n"/>
      <c r="G36" s="400" t="n"/>
      <c r="H36" s="392" t="n"/>
      <c r="I36" s="400" t="n"/>
      <c r="J36" s="391" t="n"/>
      <c r="K36" s="271" t="n"/>
      <c r="L36" s="272" t="n"/>
      <c r="M36" s="271" t="n"/>
      <c r="N36" s="392" t="n"/>
      <c r="O36" s="392" t="n"/>
      <c r="P36" s="275" t="n"/>
      <c r="Q36" s="283" t="n"/>
      <c r="R36" s="392" t="n"/>
      <c r="S36" s="276" t="n"/>
      <c r="T36" s="277" t="n"/>
      <c r="U36" s="272" t="n"/>
      <c r="V36" s="278" t="n"/>
      <c r="W36" s="279" t="n"/>
      <c r="X36" s="391">
        <f>(U36/($U$2/$U$3))</f>
        <v/>
      </c>
      <c r="Y36" s="391">
        <f>(V36/($V$2/$V$3))</f>
        <v/>
      </c>
      <c r="Z36" s="391">
        <f>(W36/($W$2/$W$3))</f>
        <v/>
      </c>
      <c r="AA36" s="391">
        <f>(Y36)/SQRT(((Z36+X36)/2))</f>
        <v/>
      </c>
      <c r="AB36" s="391">
        <f>IF(AA36&lt;3,"NINGUNO",IF(AA36&lt;=9,"LEVE O MODERADO","SEVERO"))</f>
        <v/>
      </c>
      <c r="AC36" s="280" t="n">
        <v>100</v>
      </c>
      <c r="AD36" s="281" t="n">
        <v>0</v>
      </c>
      <c r="AE36" s="281" t="n">
        <v>0</v>
      </c>
    </row>
    <row r="37" ht="15.75" customFormat="1" customHeight="1" s="302" thickBot="1">
      <c r="B37" s="232" t="inlineStr">
        <is>
          <t>M27</t>
        </is>
      </c>
      <c r="C37" s="237" t="n"/>
      <c r="D37" s="237" t="n"/>
      <c r="E37" s="237" t="n"/>
      <c r="F37" s="220" t="n"/>
      <c r="G37" s="393" t="n"/>
      <c r="H37" s="394" t="n"/>
      <c r="I37" s="393" t="n"/>
      <c r="J37" s="396" t="n"/>
      <c r="K37" s="247" t="n"/>
      <c r="L37" s="246" t="n"/>
      <c r="M37" s="247" t="n"/>
      <c r="N37" s="394" t="n"/>
      <c r="O37" s="394" t="n"/>
      <c r="P37" s="234" t="n"/>
      <c r="Q37" s="258" t="n"/>
      <c r="R37" s="394" t="n"/>
      <c r="S37" s="254" t="n"/>
      <c r="T37" s="248" t="n"/>
      <c r="U37" s="246" t="n"/>
      <c r="V37" s="255" t="n"/>
      <c r="W37" s="238" t="n"/>
      <c r="X37" s="396">
        <f>(U37/($U$2/$U$3))</f>
        <v/>
      </c>
      <c r="Y37" s="396">
        <f>(V37/($V$2/$V$3))</f>
        <v/>
      </c>
      <c r="Z37" s="396">
        <f>(W37/($W$2/$W$3))</f>
        <v/>
      </c>
      <c r="AA37" s="396">
        <f>(Y37)/SQRT(((Z37+X37)/2))</f>
        <v/>
      </c>
      <c r="AB37" s="396">
        <f>IF(AA37&lt;3,"NINGUNO",IF(AA37&lt;=9,"LEVE O MODERADO","SEVERO"))</f>
        <v/>
      </c>
      <c r="AC37" s="253" t="inlineStr">
        <is>
          <t>-</t>
        </is>
      </c>
      <c r="AD37" s="253" t="inlineStr">
        <is>
          <t>-</t>
        </is>
      </c>
      <c r="AE37" s="253" t="inlineStr">
        <is>
          <t>-</t>
        </is>
      </c>
    </row>
    <row r="38" ht="15.75" customFormat="1" customHeight="1" s="302" thickBot="1">
      <c r="B38" s="237" t="inlineStr">
        <is>
          <t>M28</t>
        </is>
      </c>
      <c r="C38" s="237" t="n"/>
      <c r="D38" s="237" t="n"/>
      <c r="E38" s="237" t="n"/>
      <c r="F38" s="220" t="n"/>
      <c r="G38" s="393" t="n"/>
      <c r="H38" s="394" t="n"/>
      <c r="I38" s="393" t="n"/>
      <c r="J38" s="396" t="n"/>
      <c r="K38" s="247" t="n"/>
      <c r="L38" s="246" t="n"/>
      <c r="M38" s="247" t="n"/>
      <c r="N38" s="394" t="n"/>
      <c r="O38" s="394" t="n"/>
      <c r="P38" s="234" t="n"/>
      <c r="Q38" s="258" t="n"/>
      <c r="R38" s="394" t="n"/>
      <c r="S38" s="254" t="n"/>
      <c r="T38" s="248" t="n"/>
      <c r="U38" s="246" t="n"/>
      <c r="V38" s="255" t="n"/>
      <c r="W38" s="238" t="n"/>
      <c r="X38" s="396">
        <f>(U38/($U$2/$U$3))</f>
        <v/>
      </c>
      <c r="Y38" s="396">
        <f>(V38/($V$2/$V$3))</f>
        <v/>
      </c>
      <c r="Z38" s="396">
        <f>(W38/($W$2/$W$3))</f>
        <v/>
      </c>
      <c r="AA38" s="396">
        <f>(Y38)/SQRT(((Z38+X38)/2))</f>
        <v/>
      </c>
      <c r="AB38" s="396">
        <f>IF(AA38&lt;3,"NINGUNO",IF(AA38&lt;=9,"LEVE O MODERADO","SEVERO"))</f>
        <v/>
      </c>
      <c r="AC38" s="253" t="inlineStr">
        <is>
          <t>-</t>
        </is>
      </c>
      <c r="AD38" s="253" t="inlineStr">
        <is>
          <t>-</t>
        </is>
      </c>
      <c r="AE38" s="253" t="inlineStr">
        <is>
          <t>-</t>
        </is>
      </c>
    </row>
    <row r="39" ht="15.75" customFormat="1" customHeight="1" s="301" thickBot="1">
      <c r="B39" s="265" t="inlineStr">
        <is>
          <t>M29</t>
        </is>
      </c>
      <c r="C39" s="265" t="n"/>
      <c r="D39" s="265" t="n"/>
      <c r="E39" s="265" t="n"/>
      <c r="F39" s="266" t="n"/>
      <c r="G39" s="400" t="n"/>
      <c r="H39" s="392" t="n"/>
      <c r="I39" s="400" t="n"/>
      <c r="J39" s="391" t="n"/>
      <c r="K39" s="271" t="n"/>
      <c r="L39" s="272" t="n"/>
      <c r="M39" s="271" t="n"/>
      <c r="N39" s="392" t="n"/>
      <c r="O39" s="274" t="n"/>
      <c r="P39" s="275" t="n"/>
      <c r="Q39" s="283" t="n"/>
      <c r="R39" s="392" t="n"/>
      <c r="S39" s="276" t="n"/>
      <c r="T39" s="277" t="n"/>
      <c r="U39" s="272" t="n"/>
      <c r="V39" s="278" t="n"/>
      <c r="W39" s="279" t="n"/>
      <c r="X39" s="391">
        <f>(U39/($U$2/$U$3))</f>
        <v/>
      </c>
      <c r="Y39" s="391">
        <f>(V39/($V$2/$V$3))</f>
        <v/>
      </c>
      <c r="Z39" s="391">
        <f>(W39/($W$2/$W$3))</f>
        <v/>
      </c>
      <c r="AA39" s="391">
        <f>(Y39)/SQRT(((Z39+X39)/2))</f>
        <v/>
      </c>
      <c r="AB39" s="391">
        <f>IF(AA39&lt;3,"NINGUNO",IF(AA39&lt;=9,"LEVE O MODERADO","SEVERO"))</f>
        <v/>
      </c>
      <c r="AC39" s="280" t="n">
        <v>5</v>
      </c>
      <c r="AD39" s="280" t="n">
        <v>1</v>
      </c>
      <c r="AE39" s="280" t="n">
        <v>1</v>
      </c>
    </row>
    <row r="40" ht="15.75" customFormat="1" customHeight="1" s="302" thickBot="1">
      <c r="B40" s="237" t="inlineStr">
        <is>
          <t>M30</t>
        </is>
      </c>
      <c r="C40" s="237" t="n"/>
      <c r="D40" s="237" t="n"/>
      <c r="E40" s="237" t="n"/>
      <c r="F40" s="220" t="n"/>
      <c r="G40" s="393" t="n"/>
      <c r="H40" s="394" t="n"/>
      <c r="I40" s="393" t="n"/>
      <c r="J40" s="396" t="n"/>
      <c r="K40" s="247" t="n"/>
      <c r="L40" s="246" t="n"/>
      <c r="M40" s="247" t="n"/>
      <c r="N40" s="394" t="n"/>
      <c r="O40" s="394" t="n"/>
      <c r="P40" s="234" t="n"/>
      <c r="Q40" s="258" t="n"/>
      <c r="R40" s="394" t="n"/>
      <c r="S40" s="254" t="n"/>
      <c r="T40" s="248" t="n"/>
      <c r="U40" s="246" t="n"/>
      <c r="V40" s="255" t="n"/>
      <c r="W40" s="238" t="n"/>
      <c r="X40" s="396">
        <f>(U40/($U$2/$U$3))</f>
        <v/>
      </c>
      <c r="Y40" s="396">
        <f>(V40/($V$2/$V$3))</f>
        <v/>
      </c>
      <c r="Z40" s="396">
        <f>(W40/($W$2/$W$3))</f>
        <v/>
      </c>
      <c r="AA40" s="396">
        <f>(Y40)/SQRT(((Z40+X40)/2))</f>
        <v/>
      </c>
      <c r="AB40" s="396">
        <f>IF(AA40&lt;3,"NINGUNO",IF(AA40&lt;=9,"LEVE O MODERADO","SEVERO"))</f>
        <v/>
      </c>
      <c r="AC40" s="253" t="inlineStr">
        <is>
          <t>-</t>
        </is>
      </c>
      <c r="AD40" s="253" t="inlineStr">
        <is>
          <t>-</t>
        </is>
      </c>
      <c r="AE40" s="253" t="inlineStr">
        <is>
          <t>-</t>
        </is>
      </c>
    </row>
    <row r="41" ht="15.75" customFormat="1" customHeight="1" s="301" thickBot="1">
      <c r="B41" s="265" t="inlineStr">
        <is>
          <t>M31</t>
        </is>
      </c>
      <c r="C41" s="265" t="n"/>
      <c r="D41" s="265" t="n"/>
      <c r="E41" s="265" t="n"/>
      <c r="F41" s="266" t="n"/>
      <c r="G41" s="400" t="n"/>
      <c r="H41" s="392" t="n"/>
      <c r="I41" s="400" t="n"/>
      <c r="J41" s="391" t="n"/>
      <c r="K41" s="271" t="n"/>
      <c r="L41" s="272" t="n"/>
      <c r="M41" s="271" t="n"/>
      <c r="N41" s="392" t="n"/>
      <c r="O41" s="392" t="n"/>
      <c r="P41" s="275" t="n"/>
      <c r="Q41" s="283" t="n"/>
      <c r="R41" s="392" t="n"/>
      <c r="S41" s="276" t="n"/>
      <c r="T41" s="277" t="n"/>
      <c r="U41" s="272" t="n"/>
      <c r="V41" s="278" t="n"/>
      <c r="W41" s="279" t="n"/>
      <c r="X41" s="391">
        <f>(U41/($U$2/$U$3))</f>
        <v/>
      </c>
      <c r="Y41" s="391">
        <f>(V41/($V$2/$V$3))</f>
        <v/>
      </c>
      <c r="Z41" s="391">
        <f>(W41/($W$2/$W$3))</f>
        <v/>
      </c>
      <c r="AA41" s="391">
        <f>(Y41)/SQRT(((Z41+X41)/2))</f>
        <v/>
      </c>
      <c r="AB41" s="391">
        <f>IF(AA41&lt;3,"NINGUNO",IF(AA41&lt;=9,"LEVE O MODERADO","SEVERO"))</f>
        <v/>
      </c>
      <c r="AC41" s="280" t="n">
        <v>25</v>
      </c>
      <c r="AD41" s="281" t="n">
        <v>0</v>
      </c>
      <c r="AE41" s="281" t="n">
        <v>0</v>
      </c>
    </row>
    <row r="42" ht="15.75" customFormat="1" customHeight="1" s="302" thickBot="1">
      <c r="B42" s="237" t="inlineStr">
        <is>
          <t>M32</t>
        </is>
      </c>
      <c r="C42" s="237" t="n"/>
      <c r="D42" s="237" t="n"/>
      <c r="E42" s="237" t="n"/>
      <c r="F42" s="220" t="n"/>
      <c r="G42" s="393" t="n"/>
      <c r="H42" s="394" t="n"/>
      <c r="I42" s="393" t="n"/>
      <c r="J42" s="396" t="n"/>
      <c r="K42" s="247" t="n"/>
      <c r="L42" s="246" t="n"/>
      <c r="M42" s="247" t="n"/>
      <c r="N42" s="394" t="n"/>
      <c r="O42" s="250" t="n"/>
      <c r="P42" s="234" t="n"/>
      <c r="Q42" s="258" t="n"/>
      <c r="R42" s="394" t="n"/>
      <c r="S42" s="254" t="n"/>
      <c r="T42" s="248" t="n"/>
      <c r="U42" s="246" t="n"/>
      <c r="V42" s="255" t="n"/>
      <c r="W42" s="238" t="n"/>
      <c r="X42" s="396">
        <f>(U42/($U$2/$U$3))</f>
        <v/>
      </c>
      <c r="Y42" s="396">
        <f>(V42/($V$2/$V$3))</f>
        <v/>
      </c>
      <c r="Z42" s="396">
        <f>(W42/($W$2/$W$3))</f>
        <v/>
      </c>
      <c r="AA42" s="396">
        <f>(Y42)/SQRT(((Z42+X42)/2))</f>
        <v/>
      </c>
      <c r="AB42" s="396">
        <f>IF(AA42&lt;3,"NINGUNO",IF(AA42&lt;=9,"LEVE O MODERADO","SEVERO"))</f>
        <v/>
      </c>
      <c r="AC42" s="253" t="inlineStr">
        <is>
          <t>-</t>
        </is>
      </c>
      <c r="AD42" s="253" t="inlineStr">
        <is>
          <t>-</t>
        </is>
      </c>
      <c r="AE42" s="253" t="inlineStr">
        <is>
          <t>-</t>
        </is>
      </c>
    </row>
    <row r="43" ht="15.75" customFormat="1" customHeight="1" s="302" thickBot="1">
      <c r="B43" s="237" t="inlineStr">
        <is>
          <t>M33</t>
        </is>
      </c>
      <c r="C43" s="237" t="n"/>
      <c r="D43" s="237" t="n"/>
      <c r="E43" s="237" t="n"/>
      <c r="F43" s="220" t="n"/>
      <c r="G43" s="393" t="n"/>
      <c r="H43" s="394" t="n"/>
      <c r="I43" s="393" t="n"/>
      <c r="J43" s="396" t="n"/>
      <c r="K43" s="247" t="n"/>
      <c r="L43" s="246" t="n"/>
      <c r="M43" s="247" t="n"/>
      <c r="N43" s="394" t="n"/>
      <c r="O43" s="250" t="n"/>
      <c r="P43" s="234" t="n"/>
      <c r="Q43" s="258" t="n"/>
      <c r="R43" s="394" t="n"/>
      <c r="S43" s="254" t="n"/>
      <c r="T43" s="248" t="n"/>
      <c r="U43" s="246" t="n"/>
      <c r="V43" s="255" t="n"/>
      <c r="W43" s="238" t="n"/>
      <c r="X43" s="396">
        <f>(U43/($U$2/$U$3))</f>
        <v/>
      </c>
      <c r="Y43" s="396">
        <f>(V43/($V$2/$V$3))</f>
        <v/>
      </c>
      <c r="Z43" s="396">
        <f>(W43/($W$2/$W$3))</f>
        <v/>
      </c>
      <c r="AA43" s="396">
        <f>(Y43)/SQRT(((Z43+X43)/2))</f>
        <v/>
      </c>
      <c r="AB43" s="396">
        <f>IF(AA43&lt;3,"NINGUNO",IF(AA43&lt;=9,"LEVE O MODERADO","SEVERO"))</f>
        <v/>
      </c>
      <c r="AC43" s="253" t="n"/>
      <c r="AD43" s="253" t="n"/>
      <c r="AE43" s="253" t="n"/>
    </row>
    <row r="44" ht="15.75" customFormat="1" customHeight="1" s="301" thickBot="1">
      <c r="B44" s="265" t="inlineStr">
        <is>
          <t>M34</t>
        </is>
      </c>
      <c r="C44" s="265" t="n"/>
      <c r="D44" s="265" t="n"/>
      <c r="E44" s="265" t="n"/>
      <c r="F44" s="266" t="n"/>
      <c r="G44" s="400" t="n"/>
      <c r="H44" s="392" t="n"/>
      <c r="I44" s="400" t="n"/>
      <c r="J44" s="391" t="n"/>
      <c r="K44" s="271" t="n"/>
      <c r="L44" s="272" t="n"/>
      <c r="M44" s="271" t="n"/>
      <c r="N44" s="392" t="n"/>
      <c r="O44" s="274" t="n"/>
      <c r="P44" s="275" t="n"/>
      <c r="Q44" s="283" t="n"/>
      <c r="R44" s="392" t="n"/>
      <c r="S44" s="276" t="n"/>
      <c r="T44" s="277" t="n"/>
      <c r="U44" s="272" t="n"/>
      <c r="V44" s="278" t="n"/>
      <c r="W44" s="279" t="n"/>
      <c r="X44" s="391">
        <f>(U44/($U$2/$U$3))</f>
        <v/>
      </c>
      <c r="Y44" s="391">
        <f>(V44/($V$2/$V$3))</f>
        <v/>
      </c>
      <c r="Z44" s="391">
        <f>(W44/($W$2/$W$3))</f>
        <v/>
      </c>
      <c r="AA44" s="391">
        <f>(Y44)/SQRT(((Z44+X44)/2))</f>
        <v/>
      </c>
      <c r="AB44" s="391">
        <f>IF(AA44&lt;3,"NINGUNO",IF(AA44&lt;=9,"LEVE O MODERADO","SEVERO"))</f>
        <v/>
      </c>
      <c r="AC44" s="280" t="n">
        <v>10</v>
      </c>
      <c r="AD44" s="280" t="n">
        <v>10</v>
      </c>
      <c r="AE44" s="280" t="n">
        <v>5</v>
      </c>
    </row>
    <row r="45" ht="15.75" customFormat="1" customHeight="1" s="301" thickBot="1">
      <c r="B45" s="265" t="inlineStr">
        <is>
          <t>M35</t>
        </is>
      </c>
      <c r="C45" s="265" t="n"/>
      <c r="D45" s="265" t="n"/>
      <c r="E45" s="265" t="n"/>
      <c r="F45" s="266" t="n"/>
      <c r="G45" s="400" t="n"/>
      <c r="H45" s="392" t="n"/>
      <c r="I45" s="400" t="n"/>
      <c r="J45" s="391" t="n"/>
      <c r="K45" s="271" t="n"/>
      <c r="L45" s="272" t="n"/>
      <c r="M45" s="271" t="n"/>
      <c r="N45" s="392" t="n"/>
      <c r="O45" s="392" t="n"/>
      <c r="P45" s="275" t="n"/>
      <c r="Q45" s="283" t="n"/>
      <c r="R45" s="392" t="n"/>
      <c r="S45" s="276" t="n"/>
      <c r="T45" s="277" t="n"/>
      <c r="U45" s="272" t="n"/>
      <c r="V45" s="278" t="n"/>
      <c r="W45" s="279" t="n"/>
      <c r="X45" s="391">
        <f>(U45/($U$2/$U$3))</f>
        <v/>
      </c>
      <c r="Y45" s="391">
        <f>(V45/($V$2/$V$3))</f>
        <v/>
      </c>
      <c r="Z45" s="391">
        <f>(W45/($W$2/$W$3))</f>
        <v/>
      </c>
      <c r="AA45" s="391">
        <f>(Y45)/SQRT(((Z45+X45)/2))</f>
        <v/>
      </c>
      <c r="AB45" s="391">
        <f>IF(AA45&lt;3,"NINGUNO",IF(AA45&lt;=9,"LEVE O MODERADO","SEVERO"))</f>
        <v/>
      </c>
      <c r="AC45" s="280" t="n">
        <v>15</v>
      </c>
      <c r="AD45" s="280" t="n">
        <v>10</v>
      </c>
      <c r="AE45" s="280" t="n">
        <v>5</v>
      </c>
    </row>
    <row r="46" ht="15.75" customFormat="1" customHeight="1" s="301" thickBot="1">
      <c r="B46" s="265" t="inlineStr">
        <is>
          <t>M36</t>
        </is>
      </c>
      <c r="C46" s="265" t="n"/>
      <c r="D46" s="265" t="n"/>
      <c r="E46" s="265" t="n"/>
      <c r="F46" s="266" t="n"/>
      <c r="G46" s="400" t="n"/>
      <c r="H46" s="392" t="n"/>
      <c r="I46" s="400" t="n"/>
      <c r="J46" s="391" t="n"/>
      <c r="K46" s="271" t="n"/>
      <c r="L46" s="391" t="n"/>
      <c r="M46" s="271" t="n"/>
      <c r="N46" s="392" t="n"/>
      <c r="O46" s="392" t="n"/>
      <c r="P46" s="275" t="n"/>
      <c r="Q46" s="283" t="n"/>
      <c r="R46" s="392" t="n"/>
      <c r="S46" s="276" t="n"/>
      <c r="T46" s="277" t="n"/>
      <c r="U46" s="272" t="n"/>
      <c r="V46" s="278" t="n"/>
      <c r="W46" s="279" t="n"/>
      <c r="X46" s="391">
        <f>(U46/($U$2/$U$3))</f>
        <v/>
      </c>
      <c r="Y46" s="391">
        <f>(V46/($V$2/$V$3))</f>
        <v/>
      </c>
      <c r="Z46" s="391">
        <f>(W46/($W$2/$W$3))</f>
        <v/>
      </c>
      <c r="AA46" s="391">
        <f>(Y46)/SQRT(((Z46+X46)/2))</f>
        <v/>
      </c>
      <c r="AB46" s="391">
        <f>IF(AA46&lt;3,"NINGUNO",IF(AA46&lt;=9,"LEVE O MODERADO","SEVERO"))</f>
        <v/>
      </c>
      <c r="AC46" s="280" t="n">
        <v>50</v>
      </c>
      <c r="AD46" s="280" t="n">
        <v>2</v>
      </c>
      <c r="AE46" s="280" t="n">
        <v>2</v>
      </c>
    </row>
    <row r="47" ht="15.75" customFormat="1" customHeight="1" s="301" thickBot="1">
      <c r="B47" s="265" t="inlineStr">
        <is>
          <t>M37</t>
        </is>
      </c>
      <c r="C47" s="265" t="n"/>
      <c r="D47" s="265" t="n"/>
      <c r="E47" s="265" t="n"/>
      <c r="F47" s="266" t="n"/>
      <c r="G47" s="400" t="n"/>
      <c r="H47" s="392" t="n"/>
      <c r="I47" s="400" t="n"/>
      <c r="J47" s="391" t="n"/>
      <c r="K47" s="271" t="n"/>
      <c r="L47" s="272" t="n"/>
      <c r="M47" s="271" t="n"/>
      <c r="N47" s="392" t="n"/>
      <c r="O47" s="274" t="n"/>
      <c r="P47" s="275" t="n"/>
      <c r="Q47" s="283" t="n"/>
      <c r="R47" s="392" t="n"/>
      <c r="S47" s="276" t="n"/>
      <c r="T47" s="277" t="n"/>
      <c r="U47" s="272" t="n"/>
      <c r="V47" s="278" t="n"/>
      <c r="W47" s="279" t="n"/>
      <c r="X47" s="391">
        <f>(U47/($U$2/$U$3))</f>
        <v/>
      </c>
      <c r="Y47" s="391">
        <f>(V47/($V$2/$V$3))</f>
        <v/>
      </c>
      <c r="Z47" s="391">
        <f>(W47/($W$2/$W$3))</f>
        <v/>
      </c>
      <c r="AA47" s="391">
        <f>(Y47)/SQRT(((Z47+X47)/2))</f>
        <v/>
      </c>
      <c r="AB47" s="391">
        <f>IF(AA47&lt;3,"NINGUNO",IF(AA47&lt;=9,"LEVE O MODERADO","SEVERO"))</f>
        <v/>
      </c>
      <c r="AC47" s="280" t="n">
        <v>15</v>
      </c>
      <c r="AD47" s="280" t="n">
        <v>10</v>
      </c>
      <c r="AE47" s="280" t="n">
        <v>5</v>
      </c>
    </row>
    <row r="48" ht="15.75" customFormat="1" customHeight="1" s="301" thickBot="1">
      <c r="B48" s="265" t="inlineStr">
        <is>
          <t>M38</t>
        </is>
      </c>
      <c r="C48" s="265" t="n"/>
      <c r="D48" s="265" t="n"/>
      <c r="E48" s="265" t="n"/>
      <c r="F48" s="266" t="n"/>
      <c r="G48" s="400" t="n"/>
      <c r="H48" s="392" t="n"/>
      <c r="I48" s="400" t="n"/>
      <c r="J48" s="391" t="n"/>
      <c r="K48" s="271" t="n"/>
      <c r="L48" s="272" t="n"/>
      <c r="M48" s="271" t="n"/>
      <c r="N48" s="392" t="n"/>
      <c r="O48" s="274" t="n"/>
      <c r="P48" s="275" t="n"/>
      <c r="Q48" s="283" t="n"/>
      <c r="R48" s="392" t="n"/>
      <c r="S48" s="276" t="n"/>
      <c r="T48" s="277" t="n"/>
      <c r="U48" s="272" t="n"/>
      <c r="V48" s="278" t="n"/>
      <c r="W48" s="279" t="n"/>
      <c r="X48" s="391">
        <f>(U48/($U$2/$U$3))</f>
        <v/>
      </c>
      <c r="Y48" s="391">
        <f>(V48/($V$2/$V$3))</f>
        <v/>
      </c>
      <c r="Z48" s="391">
        <f>(W48/($W$2/$W$3))</f>
        <v/>
      </c>
      <c r="AA48" s="391">
        <f>(Y48)/SQRT(((Z48+X48)/2))</f>
        <v/>
      </c>
      <c r="AB48" s="391">
        <f>IF(AA48&lt;3,"NINGUNO",IF(AA48&lt;=9,"LEVE O MODERADO","SEVERO"))</f>
        <v/>
      </c>
      <c r="AC48" s="280" t="n">
        <v>5</v>
      </c>
      <c r="AD48" s="280" t="n">
        <v>5</v>
      </c>
      <c r="AE48" s="280" t="n">
        <v>4</v>
      </c>
    </row>
    <row r="49" ht="15.75" customFormat="1" customHeight="1" s="302" thickBot="1">
      <c r="B49" s="237" t="inlineStr">
        <is>
          <t>M39</t>
        </is>
      </c>
      <c r="C49" s="237" t="n"/>
      <c r="D49" s="237" t="n"/>
      <c r="E49" s="237" t="n"/>
      <c r="F49" s="220" t="n"/>
      <c r="G49" s="393" t="n"/>
      <c r="H49" s="394" t="n"/>
      <c r="I49" s="393" t="n"/>
      <c r="J49" s="396" t="n"/>
      <c r="K49" s="247" t="n"/>
      <c r="L49" s="396" t="n"/>
      <c r="M49" s="247" t="n"/>
      <c r="N49" s="394" t="n"/>
      <c r="O49" s="250" t="n"/>
      <c r="P49" s="234" t="n"/>
      <c r="Q49" s="258" t="n"/>
      <c r="R49" s="394" t="n"/>
      <c r="S49" s="254" t="n"/>
      <c r="T49" s="248" t="n"/>
      <c r="U49" s="246" t="n"/>
      <c r="V49" s="255" t="n"/>
      <c r="W49" s="238" t="n"/>
      <c r="X49" s="396">
        <f>(U49/($U$2/$U$3))</f>
        <v/>
      </c>
      <c r="Y49" s="396">
        <f>(V49/($V$2/$V$3))</f>
        <v/>
      </c>
      <c r="Z49" s="396">
        <f>(W49/($W$2/$W$3))</f>
        <v/>
      </c>
      <c r="AA49" s="396">
        <f>(Y49)/SQRT(((Z49+X49)/2))</f>
        <v/>
      </c>
      <c r="AB49" s="396">
        <f>IF(AA49&lt;3,"NINGUNO",IF(AA49&lt;=9,"LEVE O MODERADO","SEVERO"))</f>
        <v/>
      </c>
      <c r="AC49" s="253" t="inlineStr">
        <is>
          <t>-</t>
        </is>
      </c>
      <c r="AD49" s="253" t="inlineStr">
        <is>
          <t>-</t>
        </is>
      </c>
      <c r="AE49" s="253" t="inlineStr">
        <is>
          <t>-</t>
        </is>
      </c>
    </row>
    <row r="50" ht="15.75" customFormat="1" customHeight="1" s="302" thickBot="1">
      <c r="B50" s="237" t="inlineStr">
        <is>
          <t>M40</t>
        </is>
      </c>
      <c r="C50" s="237" t="n"/>
      <c r="D50" s="237" t="n"/>
      <c r="E50" s="237" t="n"/>
      <c r="F50" s="220" t="n"/>
      <c r="G50" s="393" t="n"/>
      <c r="H50" s="393" t="n"/>
      <c r="I50" s="393" t="n"/>
      <c r="J50" s="393" t="n"/>
      <c r="K50" s="393" t="n"/>
      <c r="L50" s="393" t="n"/>
      <c r="M50" s="393" t="n"/>
      <c r="N50" s="393" t="n"/>
      <c r="O50" s="409" t="n"/>
      <c r="P50" s="393" t="n"/>
      <c r="Q50" s="393" t="n"/>
      <c r="R50" s="393" t="n"/>
      <c r="S50" s="393" t="n"/>
      <c r="T50" s="393" t="n"/>
      <c r="U50" s="393" t="n"/>
      <c r="V50" s="393" t="n"/>
      <c r="W50" s="393" t="n"/>
      <c r="X50" s="393" t="inlineStr">
        <is>
          <t>-</t>
        </is>
      </c>
      <c r="Y50" s="393" t="inlineStr">
        <is>
          <t>-</t>
        </is>
      </c>
      <c r="Z50" s="393" t="inlineStr">
        <is>
          <t>-</t>
        </is>
      </c>
      <c r="AA50" s="393" t="inlineStr">
        <is>
          <t>-</t>
        </is>
      </c>
      <c r="AB50" s="393" t="inlineStr">
        <is>
          <t>-</t>
        </is>
      </c>
      <c r="AC50" s="393" t="inlineStr">
        <is>
          <t>-</t>
        </is>
      </c>
      <c r="AD50" s="393" t="inlineStr">
        <is>
          <t>-</t>
        </is>
      </c>
      <c r="AE50" s="393" t="inlineStr">
        <is>
          <t>-</t>
        </is>
      </c>
    </row>
    <row r="51" ht="15.75" customFormat="1" customHeight="1" s="301" thickBot="1">
      <c r="B51" s="265" t="inlineStr">
        <is>
          <t>M41</t>
        </is>
      </c>
      <c r="C51" s="265" t="n"/>
      <c r="D51" s="265" t="n"/>
      <c r="E51" s="265" t="n"/>
      <c r="F51" s="266" t="n"/>
      <c r="G51" s="400" t="n"/>
      <c r="H51" s="392" t="n"/>
      <c r="I51" s="400" t="n"/>
      <c r="J51" s="391" t="n"/>
      <c r="K51" s="271" t="n"/>
      <c r="L51" s="272" t="n"/>
      <c r="M51" s="271" t="n"/>
      <c r="N51" s="392" t="n"/>
      <c r="O51" s="274" t="n"/>
      <c r="P51" s="275" t="n"/>
      <c r="Q51" s="283" t="n"/>
      <c r="R51" s="392" t="n"/>
      <c r="S51" s="276" t="n"/>
      <c r="T51" s="277" t="n"/>
      <c r="U51" s="272" t="n"/>
      <c r="V51" s="278" t="n"/>
      <c r="W51" s="279" t="n"/>
      <c r="X51" s="391">
        <f>(U51/($U$2/$U$3))</f>
        <v/>
      </c>
      <c r="Y51" s="391">
        <f>(V51/($V$2/$V$3))</f>
        <v/>
      </c>
      <c r="Z51" s="391">
        <f>(W51/($W$2/$W$3))</f>
        <v/>
      </c>
      <c r="AA51" s="391">
        <f>(Y51)/SQRT(((Z51+X51)/2))</f>
        <v/>
      </c>
      <c r="AB51" s="391">
        <f>IF(AA51&lt;3,"NINGUNO",IF(AA51&lt;=9,"LEVE O MODERADO","SEVERO"))</f>
        <v/>
      </c>
      <c r="AC51" s="280" t="n">
        <v>5</v>
      </c>
      <c r="AD51" s="280" t="n">
        <v>3</v>
      </c>
      <c r="AE51" s="280" t="n">
        <v>2</v>
      </c>
    </row>
    <row r="52" ht="15.75" customFormat="1" customHeight="1" s="301" thickBot="1">
      <c r="B52" s="265" t="inlineStr">
        <is>
          <t>M42</t>
        </is>
      </c>
      <c r="C52" s="265" t="n"/>
      <c r="D52" s="265" t="n"/>
      <c r="E52" s="265" t="n"/>
      <c r="F52" s="266" t="n"/>
      <c r="G52" s="403" t="n"/>
      <c r="H52" s="392" t="n"/>
      <c r="I52" s="400" t="n"/>
      <c r="J52" s="391" t="n"/>
      <c r="K52" s="271" t="n"/>
      <c r="L52" s="272" t="n"/>
      <c r="M52" s="271" t="n"/>
      <c r="N52" s="392" t="n"/>
      <c r="O52" s="274" t="n"/>
      <c r="P52" s="275" t="n"/>
      <c r="Q52" s="283" t="n"/>
      <c r="R52" s="392" t="n"/>
      <c r="S52" s="276" t="n"/>
      <c r="T52" s="277" t="n"/>
      <c r="U52" s="272" t="n"/>
      <c r="V52" s="278" t="n"/>
      <c r="W52" s="279" t="n"/>
      <c r="X52" s="391" t="n">
        <v>0</v>
      </c>
      <c r="Y52" s="391">
        <f>(V52/($V$2/$V$3))</f>
        <v/>
      </c>
      <c r="Z52" s="391">
        <f>(W52/($W$2/$W$3))</f>
        <v/>
      </c>
      <c r="AA52" s="391">
        <f>(Y52)/SQRT(((Z52+X52)/2))</f>
        <v/>
      </c>
      <c r="AB52" s="391">
        <f>IF(AA52&lt;3,"NINGUNO",IF(AA52&lt;=9,"LEVE O MODERADO","SEVERO"))</f>
        <v/>
      </c>
      <c r="AC52" s="280" t="n">
        <v>60</v>
      </c>
      <c r="AD52" s="281" t="n">
        <v>0</v>
      </c>
      <c r="AE52" s="281" t="n">
        <v>0</v>
      </c>
    </row>
    <row r="53" ht="15.75" customFormat="1" customHeight="1" s="302" thickBot="1">
      <c r="B53" s="237" t="inlineStr">
        <is>
          <t>M43</t>
        </is>
      </c>
      <c r="C53" s="237" t="n"/>
      <c r="D53" s="237" t="n"/>
      <c r="E53" s="237" t="n"/>
      <c r="F53" s="220" t="n"/>
      <c r="G53" s="399" t="n"/>
      <c r="H53" s="394" t="n"/>
      <c r="I53" s="393" t="n"/>
      <c r="J53" s="396" t="n"/>
      <c r="K53" s="247" t="n"/>
      <c r="L53" s="246" t="n"/>
      <c r="M53" s="247" t="n"/>
      <c r="N53" s="394" t="n"/>
      <c r="O53" s="394" t="n"/>
      <c r="P53" s="234" t="n"/>
      <c r="Q53" s="258" t="n"/>
      <c r="R53" s="394" t="n"/>
      <c r="S53" s="254" t="n"/>
      <c r="T53" s="248" t="n"/>
      <c r="U53" s="246" t="n"/>
      <c r="V53" s="255" t="n"/>
      <c r="W53" s="238" t="n"/>
      <c r="X53" s="396" t="n">
        <v>0</v>
      </c>
      <c r="Y53" s="396">
        <f>(V53/($V$2/$V$3))</f>
        <v/>
      </c>
      <c r="Z53" s="396">
        <f>(W53/($W$2/$W$3))</f>
        <v/>
      </c>
      <c r="AA53" s="396">
        <f>(Y53)/SQRT(((Z53+X53)/2))</f>
        <v/>
      </c>
      <c r="AB53" s="396">
        <f>IF(AA53&lt;3,"NINGUNO",IF(AA53&lt;=9,"LEVE O MODERADO","SEVERO"))</f>
        <v/>
      </c>
      <c r="AC53" s="253" t="inlineStr">
        <is>
          <t>-</t>
        </is>
      </c>
      <c r="AD53" s="253" t="inlineStr">
        <is>
          <t>-</t>
        </is>
      </c>
      <c r="AE53" s="253" t="inlineStr">
        <is>
          <t>-</t>
        </is>
      </c>
    </row>
    <row r="54" ht="15.75" customFormat="1" customHeight="1" s="301" thickBot="1">
      <c r="B54" s="265" t="inlineStr">
        <is>
          <t>M44</t>
        </is>
      </c>
      <c r="C54" s="265" t="n"/>
      <c r="D54" s="265" t="n"/>
      <c r="E54" s="265" t="n"/>
      <c r="F54" s="266" t="n"/>
      <c r="G54" s="400" t="n"/>
      <c r="H54" s="392" t="n"/>
      <c r="I54" s="400" t="n"/>
      <c r="J54" s="391" t="n"/>
      <c r="K54" s="271" t="n"/>
      <c r="L54" s="391" t="n"/>
      <c r="M54" s="271" t="n"/>
      <c r="N54" s="392" t="n"/>
      <c r="O54" s="274" t="n"/>
      <c r="P54" s="275" t="n"/>
      <c r="Q54" s="283" t="n"/>
      <c r="R54" s="392" t="n"/>
      <c r="S54" s="276" t="n"/>
      <c r="T54" s="277" t="n"/>
      <c r="U54" s="272" t="n"/>
      <c r="V54" s="278" t="n"/>
      <c r="W54" s="279" t="n"/>
      <c r="X54" s="391" t="n">
        <v>0</v>
      </c>
      <c r="Y54" s="391">
        <f>(V54/($V$2/$V$3))</f>
        <v/>
      </c>
      <c r="Z54" s="391">
        <f>(W54/($W$2/$W$3))</f>
        <v/>
      </c>
      <c r="AA54" s="391">
        <f>(Y54)/SQRT(((Z54+X54)/2))</f>
        <v/>
      </c>
      <c r="AB54" s="391">
        <f>IF(AA54&lt;3,"NINGUNO",IF(AA54&lt;=9,"LEVE O MODERADO","SEVERO"))</f>
        <v/>
      </c>
      <c r="AC54" s="280" t="n">
        <v>200</v>
      </c>
      <c r="AD54" s="281" t="n">
        <v>0</v>
      </c>
      <c r="AE54" s="281" t="n">
        <v>0</v>
      </c>
    </row>
    <row r="55" ht="15.75" customFormat="1" customHeight="1" s="302" thickBot="1">
      <c r="B55" s="237" t="inlineStr">
        <is>
          <t>M45</t>
        </is>
      </c>
      <c r="C55" s="237" t="n"/>
      <c r="D55" s="237" t="n"/>
      <c r="E55" s="237" t="n"/>
      <c r="F55" s="220" t="n"/>
      <c r="G55" s="393" t="n"/>
      <c r="H55" s="394" t="n"/>
      <c r="I55" s="393" t="n"/>
      <c r="J55" s="396" t="n"/>
      <c r="K55" s="247" t="n"/>
      <c r="L55" s="396" t="n"/>
      <c r="M55" s="247" t="n"/>
      <c r="N55" s="394" t="n"/>
      <c r="O55" s="250" t="n"/>
      <c r="P55" s="234" t="n"/>
      <c r="Q55" s="258" t="n"/>
      <c r="R55" s="394" t="n"/>
      <c r="S55" s="254" t="n"/>
      <c r="T55" s="248" t="n"/>
      <c r="U55" s="246" t="n"/>
      <c r="V55" s="255" t="n"/>
      <c r="W55" s="238" t="n"/>
      <c r="X55" s="396" t="n">
        <v>0</v>
      </c>
      <c r="Y55" s="396">
        <f>(V55/($V$2/$V$3))</f>
        <v/>
      </c>
      <c r="Z55" s="396">
        <f>(W55/($W$2/$W$3))</f>
        <v/>
      </c>
      <c r="AA55" s="396">
        <f>(Y55)/SQRT(((Z55+X55)/2))</f>
        <v/>
      </c>
      <c r="AB55" s="396">
        <f>IF(AA55&lt;3,"NINGUNO",IF(AA55&lt;=9,"LEVE O MODERADO","SEVERO"))</f>
        <v/>
      </c>
      <c r="AC55" s="253" t="inlineStr">
        <is>
          <t>-</t>
        </is>
      </c>
      <c r="AD55" s="253" t="inlineStr">
        <is>
          <t>-</t>
        </is>
      </c>
      <c r="AE55" s="253" t="inlineStr">
        <is>
          <t>-</t>
        </is>
      </c>
    </row>
    <row r="56" ht="24.75" customFormat="1" customHeight="1" s="301" thickBot="1">
      <c r="B56" s="265" t="inlineStr">
        <is>
          <t>M46</t>
        </is>
      </c>
      <c r="C56" s="265" t="n"/>
      <c r="D56" s="265" t="n"/>
      <c r="E56" s="265" t="n"/>
      <c r="F56" s="266" t="n"/>
      <c r="G56" s="407" t="n"/>
      <c r="H56" s="406" t="n"/>
      <c r="I56" s="407" t="n"/>
      <c r="J56" s="406" t="n"/>
      <c r="K56" s="271" t="n"/>
      <c r="L56" s="272" t="n"/>
      <c r="M56" s="271" t="n"/>
      <c r="N56" s="406" t="n"/>
      <c r="O56" s="274" t="n"/>
      <c r="P56" s="275" t="n"/>
      <c r="Q56" s="283" t="n"/>
      <c r="R56" s="392" t="n"/>
      <c r="S56" s="276" t="n"/>
      <c r="T56" s="277" t="n"/>
      <c r="U56" s="272" t="n"/>
      <c r="V56" s="278" t="n"/>
      <c r="W56" s="279" t="n"/>
      <c r="X56" s="391">
        <f>(U56/($U$2/$U$3))</f>
        <v/>
      </c>
      <c r="Y56" s="391">
        <f>(V56/($V$2/$V$3))</f>
        <v/>
      </c>
      <c r="Z56" s="391">
        <f>(W56/($W$2/$W$3))</f>
        <v/>
      </c>
      <c r="AA56" s="391">
        <f>(Y56)/SQRT(((Z56+X56)/2))</f>
        <v/>
      </c>
      <c r="AB56" s="391">
        <f>IF(AA56&lt;3,"NINGUNO",IF(AA56&lt;=9,"LEVE O MODERADO","SEVERO"))</f>
        <v/>
      </c>
      <c r="AC56" s="280" t="n">
        <v>50</v>
      </c>
      <c r="AD56" s="280" t="n">
        <v>2</v>
      </c>
      <c r="AE56" s="280" t="n">
        <v>2</v>
      </c>
    </row>
    <row r="57" ht="24.75" customFormat="1" customHeight="1" s="301" thickBot="1">
      <c r="B57" s="265" t="inlineStr">
        <is>
          <t>M47</t>
        </is>
      </c>
      <c r="C57" s="265" t="n"/>
      <c r="D57" s="265" t="n"/>
      <c r="E57" s="265" t="n"/>
      <c r="F57" s="266" t="n"/>
      <c r="G57" s="400" t="n"/>
      <c r="H57" s="392" t="n"/>
      <c r="I57" s="400" t="n"/>
      <c r="J57" s="391" t="n"/>
      <c r="K57" s="271" t="n"/>
      <c r="L57" s="272" t="n"/>
      <c r="M57" s="271" t="n"/>
      <c r="N57" s="392" t="n"/>
      <c r="O57" s="392" t="n"/>
      <c r="P57" s="275" t="n"/>
      <c r="Q57" s="283" t="n"/>
      <c r="R57" s="392" t="n"/>
      <c r="S57" s="276" t="n"/>
      <c r="T57" s="277" t="n"/>
      <c r="U57" s="272" t="n"/>
      <c r="V57" s="278" t="n"/>
      <c r="W57" s="279" t="n"/>
      <c r="X57" s="391">
        <f>(U57/($U$2/$U$3))</f>
        <v/>
      </c>
      <c r="Y57" s="391">
        <f>(V57/($V$2/$V$3))</f>
        <v/>
      </c>
      <c r="Z57" s="391">
        <f>(W57/($W$2/$W$3))</f>
        <v/>
      </c>
      <c r="AA57" s="391">
        <f>(Y57)/SQRT(((Z57+X57)/2))</f>
        <v/>
      </c>
      <c r="AB57" s="391">
        <f>IF(AA57&lt;3,"NINGUNO",IF(AA57&lt;=9,"LEVE O MODERADO","SEVERO"))</f>
        <v/>
      </c>
      <c r="AC57" s="280" t="n">
        <v>120</v>
      </c>
      <c r="AD57" s="280" t="n">
        <v>5</v>
      </c>
      <c r="AE57" s="280" t="n">
        <v>5</v>
      </c>
    </row>
    <row r="58" ht="24.75" customFormat="1" customHeight="1" s="301" thickBot="1">
      <c r="B58" s="265" t="inlineStr">
        <is>
          <t>M48</t>
        </is>
      </c>
      <c r="C58" s="265" t="n"/>
      <c r="D58" s="265" t="n"/>
      <c r="E58" s="265" t="n"/>
      <c r="F58" s="266" t="n"/>
      <c r="G58" s="400" t="n"/>
      <c r="H58" s="392" t="n"/>
      <c r="I58" s="400" t="n"/>
      <c r="J58" s="391" t="n"/>
      <c r="K58" s="272" t="n"/>
      <c r="L58" s="272" t="n"/>
      <c r="M58" s="271" t="n"/>
      <c r="N58" s="392" t="n"/>
      <c r="O58" s="392" t="n"/>
      <c r="P58" s="275" t="n"/>
      <c r="Q58" s="283" t="n"/>
      <c r="R58" s="392" t="n"/>
      <c r="S58" s="276" t="n"/>
      <c r="T58" s="277" t="n"/>
      <c r="U58" s="272" t="n"/>
      <c r="V58" s="278" t="n"/>
      <c r="W58" s="279" t="n"/>
      <c r="X58" s="391">
        <f>(U58/($U$2/$U$3))</f>
        <v/>
      </c>
      <c r="Y58" s="391">
        <f>(V58/($V$2/$V$3))</f>
        <v/>
      </c>
      <c r="Z58" s="391">
        <f>(W58/($W$2/$W$3))</f>
        <v/>
      </c>
      <c r="AA58" s="391">
        <f>(Y58)/SQRT(((Z58+X58)/2))</f>
        <v/>
      </c>
      <c r="AB58" s="391">
        <f>IF(AA58&lt;3,"NINGUNO",IF(AA58&lt;=9,"LEVE O MODERADO","SEVERO"))</f>
        <v/>
      </c>
      <c r="AC58" s="280" t="n">
        <v>95</v>
      </c>
      <c r="AD58" s="280" t="n">
        <v>20</v>
      </c>
      <c r="AE58" s="280" t="n">
        <v>2</v>
      </c>
    </row>
    <row r="59" ht="24.6" customFormat="1" customHeight="1" s="301" thickBot="1">
      <c r="B59" s="265" t="inlineStr">
        <is>
          <t>M49</t>
        </is>
      </c>
      <c r="C59" s="265" t="n"/>
      <c r="D59" s="265" t="n"/>
      <c r="E59" s="265" t="n"/>
      <c r="F59" s="266" t="n"/>
      <c r="G59" s="400" t="n"/>
      <c r="H59" s="392" t="n"/>
      <c r="I59" s="400" t="n"/>
      <c r="J59" s="391" t="n"/>
      <c r="K59" s="271" t="n"/>
      <c r="L59" s="272" t="n"/>
      <c r="M59" s="271" t="n"/>
      <c r="N59" s="392" t="n"/>
      <c r="O59" s="392" t="n"/>
      <c r="P59" s="275" t="n"/>
      <c r="Q59" s="402" t="n"/>
      <c r="R59" s="274" t="n"/>
      <c r="S59" s="276" t="n"/>
      <c r="T59" s="277" t="n"/>
      <c r="U59" s="272" t="n"/>
      <c r="V59" s="278" t="n"/>
      <c r="W59" s="279" t="n"/>
      <c r="X59" s="391">
        <f>(U59/($U$2/$U$3))</f>
        <v/>
      </c>
      <c r="Y59" s="391">
        <f>(V59/($V$2/$V$3))</f>
        <v/>
      </c>
      <c r="Z59" s="391">
        <f>(W59/($W$2/$W$3))</f>
        <v/>
      </c>
      <c r="AA59" s="391">
        <f>(Y59)/SQRT(((Z59+X59)/2))</f>
        <v/>
      </c>
      <c r="AB59" s="391">
        <f>IF(AA59&lt;3,"NINGUNO",IF(AA59&lt;=9,"LEVE O MODERADO","SEVERO"))</f>
        <v/>
      </c>
      <c r="AC59" s="280" t="n">
        <v>5</v>
      </c>
      <c r="AD59" s="280" t="n">
        <v>2</v>
      </c>
      <c r="AE59" s="280" t="n">
        <v>2</v>
      </c>
    </row>
    <row r="60" ht="24.75" customFormat="1" customHeight="1" s="301" thickBot="1">
      <c r="B60" s="265" t="inlineStr">
        <is>
          <t>M50</t>
        </is>
      </c>
      <c r="C60" s="265" t="n"/>
      <c r="D60" s="265" t="n"/>
      <c r="E60" s="265" t="n"/>
      <c r="F60" s="266" t="n"/>
      <c r="G60" s="400" t="n"/>
      <c r="H60" s="392" t="n"/>
      <c r="I60" s="400" t="n"/>
      <c r="J60" s="391" t="n"/>
      <c r="K60" s="271" t="n"/>
      <c r="L60" s="272" t="n"/>
      <c r="M60" s="271" t="n"/>
      <c r="N60" s="392" t="n"/>
      <c r="O60" s="274" t="n"/>
      <c r="P60" s="275" t="n"/>
      <c r="Q60" s="402" t="n"/>
      <c r="R60" s="274" t="n"/>
      <c r="S60" s="276" t="n"/>
      <c r="T60" s="277" t="n"/>
      <c r="U60" s="272" t="n"/>
      <c r="V60" s="278" t="n"/>
      <c r="W60" s="279" t="n"/>
      <c r="X60" s="391">
        <f>(U60/($U$2/$U$3))</f>
        <v/>
      </c>
      <c r="Y60" s="391">
        <f>(V60/($V$2/$V$3))</f>
        <v/>
      </c>
      <c r="Z60" s="391">
        <f>(W60/($W$2/$W$3))</f>
        <v/>
      </c>
      <c r="AA60" s="391">
        <f>(Y60)/SQRT(((Z60+X60)/2))</f>
        <v/>
      </c>
      <c r="AB60" s="391">
        <f>IF(AA60&lt;3,"NINGUNO",IF(AA60&lt;=9,"LEVE O MODERADO","SEVERO"))</f>
        <v/>
      </c>
      <c r="AC60" s="280" t="n">
        <v>5</v>
      </c>
      <c r="AD60" s="279" t="n">
        <v>0</v>
      </c>
      <c r="AE60" s="279" t="n">
        <v>0</v>
      </c>
    </row>
    <row r="61" ht="24.75" customFormat="1" customHeight="1" s="301" thickBot="1">
      <c r="B61" s="265" t="inlineStr">
        <is>
          <t>M51</t>
        </is>
      </c>
      <c r="C61" s="265" t="n"/>
      <c r="D61" s="265" t="n"/>
      <c r="E61" s="265" t="n"/>
      <c r="F61" s="266" t="n"/>
      <c r="G61" s="400" t="n"/>
      <c r="H61" s="392" t="n"/>
      <c r="I61" s="400" t="n"/>
      <c r="J61" s="391" t="n"/>
      <c r="K61" s="271" t="n"/>
      <c r="L61" s="272" t="n"/>
      <c r="M61" s="271" t="n"/>
      <c r="N61" s="392" t="n"/>
      <c r="O61" s="274" t="n"/>
      <c r="P61" s="275" t="n"/>
      <c r="Q61" s="283" t="n"/>
      <c r="R61" s="274" t="n"/>
      <c r="S61" s="276" t="n"/>
      <c r="T61" s="277" t="n"/>
      <c r="U61" s="272" t="n"/>
      <c r="V61" s="278" t="n"/>
      <c r="W61" s="279" t="n"/>
      <c r="X61" s="391">
        <f>(U61/($U$2/$U$3))</f>
        <v/>
      </c>
      <c r="Y61" s="391">
        <f>(V61/($V$2/$V$3))</f>
        <v/>
      </c>
      <c r="Z61" s="391">
        <f>(W61/($W$2/$W$3))</f>
        <v/>
      </c>
      <c r="AA61" s="391">
        <f>(Y61)/SQRT(((Z61+X61)/2))</f>
        <v/>
      </c>
      <c r="AB61" s="391">
        <f>IF(AA61&lt;3,"NINGUNO",IF(AA61&lt;=9,"LEVE O MODERADO","SEVERO"))</f>
        <v/>
      </c>
      <c r="AC61" s="280" t="n">
        <v>30</v>
      </c>
      <c r="AD61" s="280" t="n">
        <v>2</v>
      </c>
      <c r="AE61" s="280" t="n">
        <v>2</v>
      </c>
    </row>
    <row r="62" ht="24.75" customFormat="1" customHeight="1" s="301" thickBot="1">
      <c r="B62" s="265" t="inlineStr">
        <is>
          <t>M52</t>
        </is>
      </c>
      <c r="C62" s="265" t="n"/>
      <c r="D62" s="265" t="n"/>
      <c r="E62" s="265" t="n"/>
      <c r="F62" s="266" t="n"/>
      <c r="G62" s="400" t="n"/>
      <c r="H62" s="392" t="n"/>
      <c r="I62" s="400" t="n"/>
      <c r="J62" s="391" t="n"/>
      <c r="K62" s="271" t="n"/>
      <c r="L62" s="391" t="n"/>
      <c r="M62" s="271" t="n"/>
      <c r="N62" s="392" t="n"/>
      <c r="O62" s="274" t="n"/>
      <c r="P62" s="275" t="n"/>
      <c r="Q62" s="283" t="n"/>
      <c r="R62" s="274" t="n"/>
      <c r="S62" s="276" t="n"/>
      <c r="T62" s="277" t="n"/>
      <c r="U62" s="272" t="n"/>
      <c r="V62" s="278" t="n"/>
      <c r="W62" s="279" t="n"/>
      <c r="X62" s="391">
        <f>(U62/($U$2/$U$3))</f>
        <v/>
      </c>
      <c r="Y62" s="391">
        <f>(V62/($V$2/$V$3))</f>
        <v/>
      </c>
      <c r="Z62" s="391">
        <f>(W62/($W$2/$W$3))</f>
        <v/>
      </c>
      <c r="AA62" s="391">
        <f>(Y62)/SQRT(((Z62+X62)/2))</f>
        <v/>
      </c>
      <c r="AB62" s="391">
        <f>IF(AA62&lt;3,"NINGUNO",IF(AA62&lt;=9,"LEVE O MODERADO","SEVERO"))</f>
        <v/>
      </c>
      <c r="AC62" s="280" t="n">
        <v>15</v>
      </c>
      <c r="AD62" s="280" t="n">
        <v>2</v>
      </c>
      <c r="AE62" s="280" t="n">
        <v>1</v>
      </c>
    </row>
    <row r="63" ht="24.75" customFormat="1" customHeight="1" s="301" thickBot="1">
      <c r="B63" s="265" t="inlineStr">
        <is>
          <t>M53</t>
        </is>
      </c>
      <c r="C63" s="265" t="n"/>
      <c r="D63" s="265" t="n"/>
      <c r="E63" s="265" t="n"/>
      <c r="F63" s="266" t="n"/>
      <c r="G63" s="400" t="n"/>
      <c r="H63" s="392" t="n"/>
      <c r="I63" s="400" t="n"/>
      <c r="J63" s="391" t="n"/>
      <c r="K63" s="271" t="n"/>
      <c r="L63" s="272" t="n"/>
      <c r="M63" s="271" t="n"/>
      <c r="N63" s="392" t="n"/>
      <c r="O63" s="392" t="n"/>
      <c r="P63" s="275" t="n"/>
      <c r="Q63" s="283" t="n"/>
      <c r="R63" s="392" t="n"/>
      <c r="S63" s="276" t="n"/>
      <c r="T63" s="277" t="n"/>
      <c r="U63" s="272" t="n"/>
      <c r="V63" s="278" t="n"/>
      <c r="W63" s="279" t="n"/>
      <c r="X63" s="391">
        <f>(U63/($U$2/$U$3))</f>
        <v/>
      </c>
      <c r="Y63" s="391">
        <f>(V63/($V$2/$V$3))</f>
        <v/>
      </c>
      <c r="Z63" s="391">
        <f>(W63/($W$2/$W$3))</f>
        <v/>
      </c>
      <c r="AA63" s="391">
        <f>(Y63)/SQRT(((Z63+X63)/2))</f>
        <v/>
      </c>
      <c r="AB63" s="391">
        <f>IF(AA63&lt;3,"NINGUNO",IF(AA63&lt;=9,"LEVE O MODERADO","SEVERO"))</f>
        <v/>
      </c>
      <c r="AC63" s="280" t="n">
        <v>75</v>
      </c>
      <c r="AD63" s="280" t="n">
        <v>5</v>
      </c>
      <c r="AE63" s="280" t="n">
        <v>5</v>
      </c>
    </row>
    <row r="64" ht="24.75" customFormat="1" customHeight="1" s="301" thickBot="1">
      <c r="B64" s="265" t="inlineStr">
        <is>
          <t>M54</t>
        </is>
      </c>
      <c r="C64" s="265" t="n"/>
      <c r="D64" s="265" t="n"/>
      <c r="E64" s="265" t="n"/>
      <c r="F64" s="266" t="n"/>
      <c r="G64" s="410" t="n"/>
      <c r="H64" s="392" t="n"/>
      <c r="I64" s="400" t="n"/>
      <c r="J64" s="404" t="n"/>
      <c r="K64" s="272" t="n"/>
      <c r="L64" s="272" t="n"/>
      <c r="M64" s="271" t="n"/>
      <c r="N64" s="392" t="n"/>
      <c r="O64" s="274" t="n"/>
      <c r="P64" s="275" t="n"/>
      <c r="Q64" s="283" t="n"/>
      <c r="R64" s="274" t="n"/>
      <c r="S64" s="276" t="n"/>
      <c r="T64" s="277" t="n"/>
      <c r="U64" s="272" t="n"/>
      <c r="V64" s="278" t="n"/>
      <c r="W64" s="279" t="n"/>
      <c r="X64" s="391">
        <f>(U64/($U$2/$U$3))</f>
        <v/>
      </c>
      <c r="Y64" s="391">
        <f>(V64/($V$2/$V$3))</f>
        <v/>
      </c>
      <c r="Z64" s="391">
        <f>(W64/($W$2/$W$3))</f>
        <v/>
      </c>
      <c r="AA64" s="391">
        <f>(Y64)/SQRT(((Z64+X64)/2))</f>
        <v/>
      </c>
      <c r="AB64" s="391">
        <f>IF(AA64&lt;3,"NINGUNO",IF(AA64&lt;=9,"LEVE O MODERADO","SEVERO"))</f>
        <v/>
      </c>
      <c r="AC64" s="280" t="n">
        <v>35</v>
      </c>
      <c r="AD64" s="280" t="n">
        <v>10</v>
      </c>
      <c r="AE64" s="280" t="n">
        <v>5</v>
      </c>
    </row>
    <row r="65" ht="24.75" customFormat="1" customHeight="1" s="302" thickBot="1">
      <c r="B65" s="237" t="inlineStr">
        <is>
          <t>M55</t>
        </is>
      </c>
      <c r="C65" s="237" t="n"/>
      <c r="D65" s="237" t="n"/>
      <c r="E65" s="237" t="n"/>
      <c r="F65" s="220" t="n"/>
      <c r="G65" s="411" t="n"/>
      <c r="H65" s="412" t="n"/>
      <c r="I65" s="413" t="n"/>
      <c r="J65" s="398" t="n"/>
      <c r="K65" s="247" t="n"/>
      <c r="L65" s="246" t="n"/>
      <c r="M65" s="247" t="n"/>
      <c r="N65" s="394" t="n"/>
      <c r="O65" s="394" t="n"/>
      <c r="P65" s="234" t="n"/>
      <c r="Q65" s="258" t="n"/>
      <c r="R65" s="250" t="n"/>
      <c r="S65" s="254" t="n"/>
      <c r="T65" s="248" t="n"/>
      <c r="U65" s="246" t="n"/>
      <c r="V65" s="255" t="n"/>
      <c r="W65" s="238" t="n"/>
      <c r="X65" s="396">
        <f>(U65/($U$2/$U$3))</f>
        <v/>
      </c>
      <c r="Y65" s="396">
        <f>(V65/($V$2/$V$3))</f>
        <v/>
      </c>
      <c r="Z65" s="396">
        <f>(W65/($W$2/$W$3))</f>
        <v/>
      </c>
      <c r="AA65" s="396">
        <f>(Y65)/SQRT(((Z65+X65)/2))</f>
        <v/>
      </c>
      <c r="AB65" s="396">
        <f>IF(AA65&lt;3,"NINGUNO",IF(AA65&lt;=9,"LEVE O MODERADO","SEVERO"))</f>
        <v/>
      </c>
      <c r="AC65" s="253" t="inlineStr">
        <is>
          <t>-</t>
        </is>
      </c>
      <c r="AD65" s="253" t="inlineStr">
        <is>
          <t>-</t>
        </is>
      </c>
      <c r="AE65" s="253" t="inlineStr">
        <is>
          <t>-</t>
        </is>
      </c>
    </row>
    <row r="66" ht="24.75" customFormat="1" customHeight="1" s="302" thickBot="1">
      <c r="B66" s="237" t="inlineStr">
        <is>
          <t>M56</t>
        </is>
      </c>
      <c r="C66" s="237" t="n"/>
      <c r="D66" s="237" t="n"/>
      <c r="E66" s="237" t="n"/>
      <c r="F66" s="220" t="n"/>
      <c r="G66" s="411" t="n"/>
      <c r="H66" s="412" t="n"/>
      <c r="I66" s="413" t="n"/>
      <c r="J66" s="398" t="n"/>
      <c r="K66" s="247" t="n"/>
      <c r="L66" s="396" t="n"/>
      <c r="M66" s="247" t="n"/>
      <c r="N66" s="394" t="n"/>
      <c r="O66" s="250" t="n"/>
      <c r="P66" s="235" t="n"/>
      <c r="Q66" s="397" t="n"/>
      <c r="R66" s="394" t="n"/>
      <c r="S66" s="254" t="n"/>
      <c r="T66" s="248" t="n"/>
      <c r="U66" s="246" t="n"/>
      <c r="V66" s="255" t="n"/>
      <c r="W66" s="238" t="n"/>
      <c r="X66" s="396">
        <f>(U66/($U$2/$U$3))</f>
        <v/>
      </c>
      <c r="Y66" s="396">
        <f>(V66/($V$2/$V$3))</f>
        <v/>
      </c>
      <c r="Z66" s="396">
        <f>(W66/($W$2/$W$3))</f>
        <v/>
      </c>
      <c r="AA66" s="396">
        <f>(Y66)/SQRT(((Z66+X66)/2))</f>
        <v/>
      </c>
      <c r="AB66" s="396">
        <f>IF(AA66&lt;3,"NINGUNO",IF(AA66&lt;=9,"LEVE O MODERADO","SEVERO"))</f>
        <v/>
      </c>
      <c r="AC66" s="253" t="inlineStr">
        <is>
          <t>-</t>
        </is>
      </c>
      <c r="AD66" s="253" t="inlineStr">
        <is>
          <t>-</t>
        </is>
      </c>
      <c r="AE66" s="253" t="inlineStr">
        <is>
          <t>-</t>
        </is>
      </c>
    </row>
    <row r="67" ht="24.75" customFormat="1" customHeight="1" s="302" thickBot="1">
      <c r="B67" s="237" t="inlineStr">
        <is>
          <t>M57</t>
        </is>
      </c>
      <c r="C67" s="237" t="n"/>
      <c r="D67" s="237" t="n"/>
      <c r="E67" s="237" t="n"/>
      <c r="F67" s="220" t="n"/>
      <c r="G67" s="411" t="n"/>
      <c r="H67" s="412" t="n"/>
      <c r="I67" s="413" t="n"/>
      <c r="J67" s="398" t="n"/>
      <c r="K67" s="247" t="n"/>
      <c r="L67" s="246" t="n"/>
      <c r="M67" s="247" t="n"/>
      <c r="N67" s="394" t="n"/>
      <c r="O67" s="250" t="n"/>
      <c r="P67" s="235" t="n"/>
      <c r="Q67" s="394" t="n"/>
      <c r="R67" s="394" t="n"/>
      <c r="S67" s="254" t="n"/>
      <c r="T67" s="248" t="n"/>
      <c r="U67" s="246" t="n"/>
      <c r="V67" s="255" t="n"/>
      <c r="W67" s="238" t="n"/>
      <c r="X67" s="396">
        <f>(U67/($U$2/$U$3))</f>
        <v/>
      </c>
      <c r="Y67" s="396">
        <f>(V67/($V$2/$V$3))</f>
        <v/>
      </c>
      <c r="Z67" s="396">
        <f>(W67/($W$2/$W$3))</f>
        <v/>
      </c>
      <c r="AA67" s="396">
        <f>(Y67)/SQRT(((Z67+X67)/2))</f>
        <v/>
      </c>
      <c r="AB67" s="396">
        <f>IF(AA67&lt;3,"NINGUNO",IF(AA67&lt;=9,"LEVE O MODERADO","SEVERO"))</f>
        <v/>
      </c>
      <c r="AC67" s="253" t="inlineStr">
        <is>
          <t>-</t>
        </is>
      </c>
      <c r="AD67" s="253" t="inlineStr">
        <is>
          <t>-</t>
        </is>
      </c>
      <c r="AE67" s="253" t="inlineStr">
        <is>
          <t>-</t>
        </is>
      </c>
    </row>
    <row r="68" ht="24.75" customFormat="1" customHeight="1" s="301" thickBot="1">
      <c r="B68" s="265" t="inlineStr">
        <is>
          <t>M58</t>
        </is>
      </c>
      <c r="C68" s="265" t="n"/>
      <c r="D68" s="265" t="n"/>
      <c r="E68" s="265" t="n"/>
      <c r="F68" s="266" t="n"/>
      <c r="G68" s="410" t="n"/>
      <c r="H68" s="414" t="n"/>
      <c r="I68" s="415" t="n"/>
      <c r="J68" s="404" t="n"/>
      <c r="K68" s="271" t="n"/>
      <c r="L68" s="272" t="n"/>
      <c r="M68" s="271" t="n"/>
      <c r="N68" s="392" t="n"/>
      <c r="O68" s="274" t="n"/>
      <c r="P68" s="289" t="n"/>
      <c r="Q68" s="402" t="n"/>
      <c r="R68" s="392" t="n"/>
      <c r="S68" s="276" t="n"/>
      <c r="T68" s="277" t="n"/>
      <c r="U68" s="272" t="n"/>
      <c r="V68" s="278" t="n"/>
      <c r="W68" s="279" t="n"/>
      <c r="X68" s="391">
        <f>(U68/($U$2/$U$3))</f>
        <v/>
      </c>
      <c r="Y68" s="391">
        <f>(V68/($V$2/$V$3))</f>
        <v/>
      </c>
      <c r="Z68" s="391">
        <f>(W68/($W$2/$W$3))</f>
        <v/>
      </c>
      <c r="AA68" s="391">
        <f>(Y68)/SQRT(((Z68+X68)/2))</f>
        <v/>
      </c>
      <c r="AB68" s="391">
        <f>IF(AA68&lt;3,"NINGUNO",IF(AA68&lt;=9,"LEVE O MODERADO","SEVERO"))</f>
        <v/>
      </c>
      <c r="AC68" s="280" t="n">
        <v>25</v>
      </c>
      <c r="AD68" s="280" t="n">
        <v>2</v>
      </c>
      <c r="AE68" s="280" t="n">
        <v>2</v>
      </c>
    </row>
    <row r="69" ht="24.75" customFormat="1" customHeight="1" s="302" thickBot="1">
      <c r="B69" s="237" t="inlineStr">
        <is>
          <t>M59</t>
        </is>
      </c>
      <c r="C69" s="237" t="n"/>
      <c r="D69" s="237" t="n"/>
      <c r="E69" s="237" t="n"/>
      <c r="F69" s="220" t="n"/>
      <c r="G69" s="411" t="n"/>
      <c r="H69" s="412" t="n"/>
      <c r="I69" s="413" t="n"/>
      <c r="J69" s="398" t="n"/>
      <c r="K69" s="246" t="n"/>
      <c r="L69" s="246" t="n"/>
      <c r="M69" s="247" t="n"/>
      <c r="N69" s="394" t="n"/>
      <c r="O69" s="250" t="n"/>
      <c r="P69" s="235" t="n"/>
      <c r="Q69" s="397" t="n"/>
      <c r="R69" s="394" t="n"/>
      <c r="S69" s="254" t="n"/>
      <c r="T69" s="248" t="n"/>
      <c r="U69" s="246" t="n"/>
      <c r="V69" s="255" t="n"/>
      <c r="W69" s="238" t="n"/>
      <c r="X69" s="396">
        <f>(U69/($U$2/$U$3))</f>
        <v/>
      </c>
      <c r="Y69" s="396">
        <f>(V69/($V$2/$V$3))</f>
        <v/>
      </c>
      <c r="Z69" s="396">
        <f>(W69/($W$2/$W$3))</f>
        <v/>
      </c>
      <c r="AA69" s="396">
        <f>(Y69)/SQRT(((Z69+X69)/2))</f>
        <v/>
      </c>
      <c r="AB69" s="396">
        <f>IF(AA69&lt;3,"NINGUNO",IF(AA69&lt;=9,"LEVE O MODERADO","SEVERO"))</f>
        <v/>
      </c>
      <c r="AC69" s="253" t="inlineStr">
        <is>
          <t>-</t>
        </is>
      </c>
      <c r="AD69" s="253" t="inlineStr">
        <is>
          <t>-</t>
        </is>
      </c>
      <c r="AE69" s="253" t="inlineStr">
        <is>
          <t>-</t>
        </is>
      </c>
    </row>
    <row r="70" ht="24.75" customFormat="1" customHeight="1" s="301" thickBot="1">
      <c r="B70" s="265" t="inlineStr">
        <is>
          <t>M60</t>
        </is>
      </c>
      <c r="C70" s="265" t="n"/>
      <c r="D70" s="265" t="n"/>
      <c r="E70" s="265" t="n"/>
      <c r="F70" s="266" t="n"/>
      <c r="G70" s="410" t="n"/>
      <c r="H70" s="414" t="n"/>
      <c r="I70" s="415" t="n"/>
      <c r="J70" s="404" t="n"/>
      <c r="K70" s="272" t="n"/>
      <c r="L70" s="272" t="n"/>
      <c r="M70" s="271" t="n"/>
      <c r="N70" s="392" t="n"/>
      <c r="O70" s="274" t="n"/>
      <c r="P70" s="289" t="n"/>
      <c r="Q70" s="402" t="n"/>
      <c r="R70" s="392" t="n"/>
      <c r="S70" s="276" t="n"/>
      <c r="T70" s="277" t="n"/>
      <c r="U70" s="272" t="n"/>
      <c r="V70" s="278" t="n"/>
      <c r="W70" s="279" t="n"/>
      <c r="X70" s="391">
        <f>(U70/($U$2/$U$3))</f>
        <v/>
      </c>
      <c r="Y70" s="391">
        <f>(V70/($V$2/$V$3))</f>
        <v/>
      </c>
      <c r="Z70" s="391">
        <f>(W70/($W$2/$W$3))</f>
        <v/>
      </c>
      <c r="AA70" s="391">
        <f>(Y70)/SQRT(((Z70+X70)/2))</f>
        <v/>
      </c>
      <c r="AB70" s="391">
        <f>IF(AA70&lt;3,"NINGUNO",IF(AA70&lt;=9,"LEVE O MODERADO","SEVERO"))</f>
        <v/>
      </c>
      <c r="AC70" s="280" t="n">
        <v>10</v>
      </c>
      <c r="AD70" s="280" t="n">
        <v>5</v>
      </c>
      <c r="AE70" s="280" t="n">
        <v>4</v>
      </c>
    </row>
    <row r="71">
      <c r="B71" s="416" t="inlineStr">
        <is>
          <t>*No se realiza metodo microbiológico requerido para aguas catergia 3 - ECAS. Metodo utilizado para agua subterránea -  Siembra en placa.</t>
        </is>
      </c>
      <c r="C71" s="417" t="n"/>
      <c r="D71" s="417" t="n"/>
      <c r="E71" s="417" t="n"/>
      <c r="F71" s="417" t="n"/>
      <c r="G71" s="417" t="n"/>
      <c r="H71" s="417" t="n"/>
      <c r="I71" s="417" t="n"/>
      <c r="J71" s="417" t="n"/>
      <c r="K71" s="417" t="n"/>
      <c r="L71" s="417" t="n"/>
      <c r="M71" s="417" t="n"/>
      <c r="N71" s="417" t="n"/>
      <c r="O71" s="417" t="n"/>
      <c r="P71" s="417" t="n"/>
      <c r="Q71" s="381" t="n"/>
      <c r="R71" s="299" t="n"/>
      <c r="S71" s="318" t="n"/>
      <c r="T71" s="318" t="n"/>
      <c r="U71" s="318" t="n"/>
      <c r="V71" s="318" t="n"/>
      <c r="W71" s="318" t="n"/>
      <c r="X71" s="318" t="n"/>
      <c r="Y71" s="318" t="n"/>
      <c r="Z71" s="318" t="n"/>
      <c r="AA71" s="318" t="n"/>
      <c r="AB71" s="318" t="n"/>
      <c r="AC71" s="318" t="n"/>
      <c r="AD71" s="318" t="n"/>
      <c r="AE71" s="318" t="n"/>
    </row>
    <row r="72" ht="24.75" customHeight="1" thickBot="1">
      <c r="B72" s="317" t="inlineStr">
        <is>
          <t>+ No se realizó análisis. Pozo inaccesible</t>
        </is>
      </c>
      <c r="N72" s="240" t="n"/>
      <c r="O72" s="305" t="n"/>
      <c r="P72" s="317" t="n"/>
      <c r="Q72" s="317" t="n"/>
      <c r="R72" s="317" t="n"/>
      <c r="S72" s="318" t="n"/>
      <c r="T72" s="318" t="n"/>
      <c r="U72" s="318" t="n"/>
      <c r="V72" s="318" t="n"/>
      <c r="W72" s="318" t="n"/>
      <c r="X72" s="318" t="n"/>
      <c r="Y72" s="318" t="n"/>
      <c r="Z72" s="318" t="n"/>
      <c r="AA72" s="318" t="n"/>
      <c r="AB72" s="318" t="n"/>
      <c r="AC72" s="318" t="n"/>
      <c r="AD72" s="318" t="n"/>
      <c r="AE72" s="318" t="n"/>
    </row>
    <row r="73" ht="15.75" customHeight="1" thickBot="1">
      <c r="B73" s="418" t="n"/>
      <c r="C73" s="317" t="n"/>
      <c r="D73" s="317" t="n"/>
      <c r="E73" s="317" t="n"/>
      <c r="F73" s="317" t="n"/>
      <c r="G73" s="243" t="n"/>
      <c r="H73" s="243" t="n"/>
      <c r="I73" s="243" t="n"/>
      <c r="J73" s="243" t="n"/>
      <c r="K73" s="243" t="n"/>
      <c r="L73" s="243" t="n"/>
      <c r="M73" s="243" t="n"/>
      <c r="N73" s="244" t="n"/>
      <c r="O73" s="306" t="n"/>
      <c r="P73" s="243" t="n"/>
      <c r="Q73" s="243" t="n"/>
      <c r="R73" s="243" t="n"/>
      <c r="S73" s="307" t="n"/>
      <c r="T73" s="307" t="n"/>
      <c r="U73" s="307" t="n"/>
      <c r="V73" s="307" t="n"/>
      <c r="W73" s="307" t="n"/>
      <c r="X73" s="307" t="n"/>
      <c r="Y73" s="307" t="n"/>
      <c r="Z73" s="307" t="n"/>
      <c r="AA73" s="307" t="n"/>
      <c r="AB73" s="307" t="n"/>
      <c r="AC73" s="306" t="n">
        <v>37</v>
      </c>
      <c r="AD73" s="306" t="n">
        <v>23</v>
      </c>
      <c r="AE73" s="306" t="n">
        <v>22</v>
      </c>
    </row>
    <row r="74">
      <c r="B74" s="318" t="n"/>
      <c r="C74" s="318" t="n"/>
      <c r="D74" s="318" t="n"/>
      <c r="E74" s="318" t="n"/>
      <c r="F74" s="318" t="n"/>
      <c r="G74" s="319">
        <f>(G73*100)/39</f>
        <v/>
      </c>
      <c r="H74" s="319">
        <f>(H73*100)/39</f>
        <v/>
      </c>
      <c r="I74" s="319">
        <f>(I73*100)/39</f>
        <v/>
      </c>
      <c r="J74" s="319">
        <f>(J73*100)/39</f>
        <v/>
      </c>
      <c r="K74" s="319">
        <f>(K73*100)/39</f>
        <v/>
      </c>
      <c r="L74" s="319">
        <f>(L73*100)/39</f>
        <v/>
      </c>
      <c r="M74" s="319">
        <f>(M73*100)/39</f>
        <v/>
      </c>
      <c r="N74" s="319">
        <f>(N73*100)/39</f>
        <v/>
      </c>
      <c r="O74" s="319">
        <f>(O73*100)/39</f>
        <v/>
      </c>
      <c r="P74" s="319">
        <f>(P73*100)/39</f>
        <v/>
      </c>
      <c r="Q74" s="319">
        <f>(Q73*100)/39</f>
        <v/>
      </c>
      <c r="R74" s="319">
        <f>(R73*100)/39</f>
        <v/>
      </c>
      <c r="S74" s="319">
        <f>(S73*100)/39</f>
        <v/>
      </c>
      <c r="T74" s="319">
        <f>(T73*100)/39</f>
        <v/>
      </c>
      <c r="U74" s="319">
        <f>(U73*100)/39</f>
        <v/>
      </c>
      <c r="V74" s="319">
        <f>(V73*100)/39</f>
        <v/>
      </c>
      <c r="W74" s="319">
        <f>(W73*100)/39</f>
        <v/>
      </c>
      <c r="X74" s="319">
        <f>(X73*100)/39</f>
        <v/>
      </c>
      <c r="Y74" s="319">
        <f>(Y73*100)/39</f>
        <v/>
      </c>
      <c r="Z74" s="319">
        <f>(Z73*100)/39</f>
        <v/>
      </c>
      <c r="AA74" s="319">
        <f>(AA73*100)/39</f>
        <v/>
      </c>
      <c r="AB74" s="319">
        <f>(AB73*100)/39</f>
        <v/>
      </c>
      <c r="AC74" s="319">
        <f>(AC73*100)/37</f>
        <v/>
      </c>
      <c r="AD74" s="319">
        <f>(AD73*100)/37</f>
        <v/>
      </c>
      <c r="AE74" s="319">
        <f>(AE73*100)/37</f>
        <v/>
      </c>
    </row>
    <row r="75">
      <c r="B75" s="318" t="n"/>
      <c r="C75" s="318" t="n"/>
      <c r="D75" s="318" t="inlineStr">
        <is>
          <t>RIEGO DE VEGETALES</t>
        </is>
      </c>
      <c r="G75" s="319" t="inlineStr">
        <is>
          <t>&gt;15</t>
        </is>
      </c>
      <c r="H75" s="319" t="n"/>
      <c r="I75" s="319" t="n"/>
      <c r="J75" s="319" t="n"/>
      <c r="K75" s="319" t="n"/>
      <c r="L75" s="319" t="n"/>
      <c r="M75" s="319" t="n"/>
      <c r="N75" s="319" t="inlineStr">
        <is>
          <t>&gt;41</t>
        </is>
      </c>
      <c r="O75" s="319" t="inlineStr">
        <is>
          <t>&lt;58&gt;</t>
        </is>
      </c>
      <c r="P75" s="319" t="n"/>
      <c r="Q75" s="319" t="inlineStr">
        <is>
          <t>&lt;14&gt;</t>
        </is>
      </c>
      <c r="R75" s="319" t="n"/>
      <c r="S75" s="319" t="n"/>
      <c r="T75" s="319" t="n"/>
      <c r="U75" s="319" t="n"/>
      <c r="V75" s="319" t="n"/>
      <c r="W75" s="319" t="n"/>
      <c r="X75" s="319" t="n"/>
      <c r="Y75" s="319" t="n"/>
      <c r="Z75" s="319" t="n"/>
      <c r="AA75" s="319" t="n"/>
      <c r="AB75" s="319" t="n"/>
      <c r="AC75" s="319" t="n"/>
      <c r="AD75" s="319" t="n"/>
      <c r="AE75" s="319" t="n"/>
    </row>
    <row r="76">
      <c r="B76" s="318" t="n"/>
      <c r="C76" s="318" t="n"/>
      <c r="D76" s="318" t="inlineStr">
        <is>
          <t>CONSUMO DE ANIMALES</t>
        </is>
      </c>
      <c r="G76" s="319" t="inlineStr">
        <is>
          <t>&gt;1</t>
        </is>
      </c>
      <c r="H76" s="319" t="n"/>
      <c r="I76" s="319" t="n"/>
      <c r="J76" s="319" t="n"/>
      <c r="K76" s="319" t="n"/>
      <c r="L76" s="319" t="n"/>
      <c r="N76" s="319" t="inlineStr">
        <is>
          <t>&gt;34</t>
        </is>
      </c>
      <c r="P76" s="319" t="n"/>
      <c r="R76" s="319" t="n"/>
      <c r="S76" s="319" t="n"/>
      <c r="T76" s="319" t="n"/>
      <c r="U76" s="319" t="n"/>
      <c r="V76" s="319" t="n"/>
      <c r="W76" s="319" t="n"/>
      <c r="X76" s="319" t="n"/>
      <c r="Y76" s="319" t="n"/>
      <c r="Z76" s="319" t="n"/>
      <c r="AA76" s="319" t="n"/>
      <c r="AB76" s="319" t="n"/>
      <c r="AC76" s="319" t="n"/>
      <c r="AD76" s="319" t="n"/>
      <c r="AE76" s="319" t="n"/>
    </row>
    <row r="77">
      <c r="B77" s="318" t="n"/>
      <c r="C77" s="318" t="n"/>
      <c r="D77" s="318" t="inlineStr">
        <is>
          <t>HUMANO</t>
        </is>
      </c>
      <c r="G77" s="319" t="inlineStr">
        <is>
          <t>&gt;14</t>
        </is>
      </c>
      <c r="H77" s="319" t="n"/>
      <c r="I77" s="319" t="inlineStr">
        <is>
          <t>&gt;16</t>
        </is>
      </c>
      <c r="J77" s="319" t="n"/>
      <c r="K77" s="319" t="n">
        <v>0</v>
      </c>
      <c r="L77" s="319" t="n"/>
      <c r="M77" s="319" t="inlineStr">
        <is>
          <t>&gt;16</t>
        </is>
      </c>
      <c r="N77" s="319" t="inlineStr">
        <is>
          <t>&gt;12</t>
        </is>
      </c>
      <c r="O77" s="319" t="inlineStr">
        <is>
          <t>&lt;23&gt;</t>
        </is>
      </c>
      <c r="P77" s="319" t="n"/>
      <c r="Q77" s="319" t="inlineStr">
        <is>
          <t>&lt;16&gt;</t>
        </is>
      </c>
      <c r="R77" s="319" t="n"/>
      <c r="S77" s="319" t="inlineStr">
        <is>
          <t>&gt;4</t>
        </is>
      </c>
      <c r="T77" s="319" t="n"/>
      <c r="U77" s="319" t="n"/>
      <c r="V77" s="319" t="inlineStr">
        <is>
          <t>&gt;12</t>
        </is>
      </c>
      <c r="W77" s="319" t="n"/>
      <c r="X77" s="319" t="n"/>
      <c r="Y77" s="319" t="n"/>
      <c r="Z77" s="319" t="n"/>
      <c r="AA77" s="319" t="n"/>
      <c r="AB77" s="319" t="n"/>
      <c r="AC77" s="319" t="n"/>
      <c r="AD77" s="319" t="n"/>
      <c r="AE77" s="319" t="n"/>
    </row>
    <row r="78">
      <c r="B78" s="222" t="n"/>
      <c r="C78" s="318" t="n"/>
      <c r="E78" s="318" t="inlineStr">
        <is>
          <t>MAX</t>
        </is>
      </c>
      <c r="F78" s="318" t="n"/>
      <c r="G78" s="419">
        <f>MAX(G11:G70)</f>
        <v/>
      </c>
      <c r="H78" s="420">
        <f>MAX(H11:H70)</f>
        <v/>
      </c>
      <c r="I78" s="419">
        <f>MAX(I11:I70)</f>
        <v/>
      </c>
      <c r="J78" s="421">
        <f>MAX(J11:J70)</f>
        <v/>
      </c>
      <c r="K78" s="419">
        <f>MAX(K11:K70)</f>
        <v/>
      </c>
      <c r="L78" s="419">
        <f>MAX(L11:L70)</f>
        <v/>
      </c>
      <c r="M78" s="419">
        <f>MAX(M11:M70)</f>
        <v/>
      </c>
      <c r="N78" s="421">
        <f>MAX(N11:N70)</f>
        <v/>
      </c>
      <c r="O78" s="421">
        <f>MAX(O11:O70)</f>
        <v/>
      </c>
      <c r="P78" s="419">
        <f>MAX(P11:P70)</f>
        <v/>
      </c>
      <c r="Q78" s="421">
        <f>MAX(Q11:Q70)</f>
        <v/>
      </c>
      <c r="R78" s="421">
        <f>MAX(R11:R70)</f>
        <v/>
      </c>
      <c r="S78" s="420">
        <f>MAX(S11:S70)</f>
        <v/>
      </c>
      <c r="T78" s="420">
        <f>MAX(T11:T70)</f>
        <v/>
      </c>
      <c r="U78" s="419">
        <f>MAX(U11:U70)</f>
        <v/>
      </c>
      <c r="V78" s="419">
        <f>MAX(V11:V70)</f>
        <v/>
      </c>
      <c r="W78" s="419">
        <f>MAX(W11:W70)</f>
        <v/>
      </c>
      <c r="X78" s="419" t="n"/>
      <c r="Y78" s="419" t="n"/>
      <c r="Z78" s="419" t="n"/>
      <c r="AA78" s="419" t="n"/>
      <c r="AB78" s="419" t="n"/>
      <c r="AC78" s="419">
        <f>MAX(AC11:AC70)</f>
        <v/>
      </c>
      <c r="AD78" s="419">
        <f>MAX(AD11:AD70)</f>
        <v/>
      </c>
      <c r="AE78" s="419">
        <f>MAX(AE11:AE70)</f>
        <v/>
      </c>
    </row>
    <row r="79">
      <c r="B79" s="222" t="n"/>
      <c r="C79" s="318" t="n"/>
      <c r="E79" s="318" t="inlineStr">
        <is>
          <t>MIN</t>
        </is>
      </c>
      <c r="F79" s="318" t="n"/>
      <c r="G79" s="422">
        <f>MIN(G11:G70)</f>
        <v/>
      </c>
      <c r="H79" s="423">
        <f>MIN(H11:H70)</f>
        <v/>
      </c>
      <c r="I79" s="422">
        <f>MIN(I11:I70)</f>
        <v/>
      </c>
      <c r="J79" s="424">
        <f>MIN(J11:J70)</f>
        <v/>
      </c>
      <c r="K79" s="424">
        <f>MIN(K11:K70)</f>
        <v/>
      </c>
      <c r="L79" s="424">
        <f>MIN(L11:L70)</f>
        <v/>
      </c>
      <c r="M79" s="422">
        <f>MIN(M11:M70)</f>
        <v/>
      </c>
      <c r="N79" s="423">
        <f>MIN(N11:N70)</f>
        <v/>
      </c>
      <c r="O79" s="423">
        <f>MIN(O11:O70)</f>
        <v/>
      </c>
      <c r="P79" s="422">
        <f>MIN(P11:P70)</f>
        <v/>
      </c>
      <c r="Q79" s="424">
        <f>MIN(Q11:Q70)</f>
        <v/>
      </c>
      <c r="R79" s="423">
        <f>MIN(R11:R70)</f>
        <v/>
      </c>
      <c r="S79" s="423">
        <f>MIN(S11:S70)</f>
        <v/>
      </c>
      <c r="T79" s="423">
        <f>MIN(T11:T70)</f>
        <v/>
      </c>
      <c r="U79" s="422">
        <f>MIN(U11:U70)</f>
        <v/>
      </c>
      <c r="V79" s="422">
        <f>MIN(V11:V70)</f>
        <v/>
      </c>
      <c r="W79" s="422">
        <f>MIN(W11:W70)</f>
        <v/>
      </c>
      <c r="X79" s="423" t="n"/>
      <c r="Y79" s="423" t="n"/>
      <c r="Z79" s="423" t="n"/>
      <c r="AA79" s="423" t="n"/>
      <c r="AB79" s="423" t="n"/>
      <c r="AC79" s="423">
        <f>MIN(AC11:AC70)</f>
        <v/>
      </c>
      <c r="AD79" s="422">
        <f>MIN(AD11:AD70)</f>
        <v/>
      </c>
      <c r="AE79" s="422">
        <f>MIN(AE11:AE70)</f>
        <v/>
      </c>
    </row>
    <row r="80">
      <c r="AD80" s="314" t="n"/>
    </row>
    <row r="81" ht="18.75" customHeight="1"/>
    <row r="82" ht="15.75" customHeight="1"/>
    <row r="85" ht="24.75" customHeight="1"/>
    <row r="87" ht="13.5" customHeight="1">
      <c r="O87" s="2" t="n"/>
    </row>
    <row r="88" ht="19.5" customHeight="1">
      <c r="L88" s="300" t="n"/>
      <c r="N88" s="3" t="n"/>
      <c r="O88" s="3" t="n"/>
      <c r="P88" s="300" t="inlineStr">
        <is>
          <t>1 microsiemens/centímetro = 0.001 milisiemens/centímetro</t>
        </is>
      </c>
      <c r="Q88" s="300" t="n"/>
      <c r="R88" s="300" t="n"/>
    </row>
    <row r="90" ht="18" customHeight="1">
      <c r="O90" s="4" t="n"/>
    </row>
    <row r="91" ht="18" customHeight="1">
      <c r="L91" s="315" t="n"/>
      <c r="O91" s="1" t="n"/>
      <c r="P91" s="315" t="inlineStr">
        <is>
          <t>1 mho/centímetro = 1 siemens/centímetro</t>
        </is>
      </c>
      <c r="Q91" s="315" t="n"/>
      <c r="R91" s="315" t="n"/>
    </row>
    <row r="92">
      <c r="L92" s="5" t="inlineStr">
        <is>
          <t>1us</t>
        </is>
      </c>
      <c r="O92" s="316" t="n"/>
      <c r="P92" s="7" t="inlineStr">
        <is>
          <t>1 umho</t>
        </is>
      </c>
    </row>
    <row r="94">
      <c r="P94" s="316" t="n"/>
      <c r="S94" s="314" t="n"/>
      <c r="T94" s="314" t="n"/>
      <c r="U94" s="314" t="n"/>
      <c r="V94" s="314" t="n"/>
      <c r="W94" s="314" t="n"/>
      <c r="X94" s="314" t="n"/>
      <c r="Y94" s="314" t="n"/>
      <c r="Z94" s="314" t="n"/>
      <c r="AA94" s="314" t="n"/>
      <c r="AB94" s="314" t="n"/>
      <c r="AC94" s="314" t="n"/>
    </row>
  </sheetData>
  <mergeCells count="23">
    <mergeCell ref="Y6:Y10"/>
    <mergeCell ref="D76:F76"/>
    <mergeCell ref="E6:F7"/>
    <mergeCell ref="C6:D10"/>
    <mergeCell ref="B8:B9"/>
    <mergeCell ref="AC8:AE8"/>
    <mergeCell ref="D75:F75"/>
    <mergeCell ref="E8:F8"/>
    <mergeCell ref="O75:O76"/>
    <mergeCell ref="E10:F10"/>
    <mergeCell ref="AC9:AE9"/>
    <mergeCell ref="Z6:Z10"/>
    <mergeCell ref="E9:F9"/>
    <mergeCell ref="AB6:AB10"/>
    <mergeCell ref="M75:M76"/>
    <mergeCell ref="B71:Q71"/>
    <mergeCell ref="AA6:AA10"/>
    <mergeCell ref="B4:AE4"/>
    <mergeCell ref="P94:R94"/>
    <mergeCell ref="B72:M72"/>
    <mergeCell ref="Q75:Q76"/>
    <mergeCell ref="X6:X10"/>
    <mergeCell ref="D77:F77"/>
  </mergeCells>
  <pageMargins left="0.7" right="0.7" top="0.75" bottom="0.75" header="0.3" footer="0.3"/>
  <pageSetup orientation="portrait" paperSize="9" scale="1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S147"/>
  <sheetViews>
    <sheetView showGridLines="0" zoomScale="60" zoomScaleNormal="60" workbookViewId="0">
      <pane xSplit="2" ySplit="7" topLeftCell="U8" activePane="bottomRight" state="frozen"/>
      <selection pane="topRight" activeCell="B1" sqref="B1"/>
      <selection pane="bottomLeft" activeCell="A7" sqref="A7"/>
      <selection pane="bottomRight" activeCell="AO2" sqref="AO1:AO1048576"/>
    </sheetView>
  </sheetViews>
  <sheetFormatPr baseColWidth="10" defaultColWidth="11.5703125" defaultRowHeight="15"/>
  <cols>
    <col width="4.42578125" customWidth="1" style="360" min="1" max="1"/>
    <col width="21.7109375" customWidth="1" style="360" min="2" max="2"/>
    <col width="11.5703125" customWidth="1" style="360" min="3" max="4"/>
    <col width="16.7109375" customWidth="1" style="360" min="5" max="5"/>
    <col hidden="1" width="11.5703125" customWidth="1" style="360" min="6" max="6"/>
    <col hidden="1" width="17.7109375" customWidth="1" style="360" min="7" max="7"/>
    <col hidden="1" width="11.5703125" customWidth="1" style="360" min="8" max="19"/>
    <col width="30.7109375" customWidth="1" style="31" min="20" max="20"/>
    <col width="11.5703125" customWidth="1" style="360" min="21" max="25"/>
    <col width="13.7109375" customWidth="1" style="360" min="26" max="26"/>
    <col width="11.5703125" customWidth="1" style="360" min="27" max="27"/>
    <col width="16.42578125" customWidth="1" style="360" min="28" max="28"/>
    <col width="14" bestFit="1" customWidth="1" style="360" min="29" max="29"/>
    <col hidden="1" style="360" min="30" max="32"/>
    <col width="11.5703125" customWidth="1" style="360" min="33" max="33"/>
    <col width="16.28515625" bestFit="1" customWidth="1" style="360" min="34" max="34"/>
    <col width="14.5703125" bestFit="1" customWidth="1" style="360" min="35" max="35"/>
    <col width="11.5703125" customWidth="1" style="360" min="36" max="36"/>
    <col width="17.5703125" customWidth="1" style="360" min="37" max="37"/>
    <col hidden="1" width="15.7109375" customWidth="1" style="360" min="38" max="38"/>
    <col width="11.5703125" customWidth="1" style="360" min="39" max="40"/>
    <col width="15.7109375" customWidth="1" style="360" min="41" max="41"/>
    <col width="17.7109375" bestFit="1" customWidth="1" style="360" min="42" max="42"/>
    <col width="26.28515625" bestFit="1" customWidth="1" style="360" min="43" max="43"/>
    <col width="14" bestFit="1" customWidth="1" style="360" min="44" max="44"/>
    <col width="11.5703125" customWidth="1" style="360" min="45" max="16384"/>
  </cols>
  <sheetData>
    <row r="1" ht="23.25" customHeight="1">
      <c r="B1" s="425" t="inlineStr">
        <is>
          <t>RESULTADOS ANÁLISIS FISICO-QUIMICOS Y  MICROBIOLOGICOS DE LA CALIDAD DE AGUA SUBTERRANEA VALLE DE CHICAMA   Abr- May 2024- 1° MONITOREO</t>
        </is>
      </c>
      <c r="C1" s="426" t="n"/>
      <c r="D1" s="426" t="n"/>
      <c r="E1" s="426" t="n"/>
      <c r="F1" s="426" t="n"/>
      <c r="G1" s="426" t="n"/>
      <c r="H1" s="426" t="n"/>
      <c r="I1" s="426" t="n"/>
      <c r="J1" s="426" t="n"/>
      <c r="K1" s="426" t="n"/>
      <c r="L1" s="426" t="n"/>
      <c r="M1" s="426" t="n"/>
      <c r="N1" s="426" t="n"/>
      <c r="O1" s="426" t="n"/>
      <c r="P1" s="426" t="n"/>
      <c r="Q1" s="426" t="n"/>
      <c r="R1" s="426" t="n"/>
      <c r="S1" s="426" t="n"/>
      <c r="T1" s="426" t="n"/>
      <c r="U1" s="426" t="n"/>
      <c r="V1" s="426" t="n"/>
      <c r="W1" s="426" t="n"/>
      <c r="X1" s="426" t="n"/>
      <c r="Y1" s="426" t="n"/>
      <c r="Z1" s="426" t="n"/>
      <c r="AA1" s="426" t="n"/>
      <c r="AB1" s="426" t="n"/>
      <c r="AC1" s="426" t="n"/>
      <c r="AD1" s="426" t="n"/>
      <c r="AE1" s="426" t="n"/>
      <c r="AF1" s="426" t="n"/>
      <c r="AG1" s="426" t="n"/>
      <c r="AH1" s="426" t="n"/>
      <c r="AI1" s="426" t="n"/>
      <c r="AJ1" s="426" t="n"/>
      <c r="AK1" s="426" t="n"/>
      <c r="AL1" s="426" t="n"/>
      <c r="AM1" s="426" t="n"/>
      <c r="AN1" s="426" t="n"/>
      <c r="AO1" s="426" t="n"/>
      <c r="AP1" s="426" t="n"/>
      <c r="AQ1" s="426" t="n"/>
      <c r="AR1" s="427" t="n"/>
    </row>
    <row r="2" ht="7.15" customHeight="1" thickBot="1"/>
    <row r="3" ht="33.6" customHeight="1" thickBot="1">
      <c r="B3" s="32" t="inlineStr">
        <is>
          <t>PARAMETRO</t>
        </is>
      </c>
      <c r="C3" s="347" t="inlineStr">
        <is>
          <t>Coordenada Datum:
 WGS-84</t>
        </is>
      </c>
      <c r="D3" s="428" t="n"/>
      <c r="E3" s="351" t="inlineStr">
        <is>
          <t>Nº de Pozo de observación</t>
        </is>
      </c>
      <c r="F3" s="33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5" t="n"/>
      <c r="T3" s="351" t="inlineStr">
        <is>
          <t xml:space="preserve">USO </t>
        </is>
      </c>
      <c r="U3" s="36" t="n"/>
      <c r="V3" s="351" t="inlineStr">
        <is>
          <t>pr (m)</t>
        </is>
      </c>
      <c r="W3" s="351" t="inlineStr">
        <is>
          <t>lc (m)</t>
        </is>
      </c>
      <c r="X3" s="351" t="inlineStr">
        <is>
          <t>nivel_esta</t>
        </is>
      </c>
      <c r="Y3" s="351" t="inlineStr">
        <is>
          <t>nivel_dina</t>
        </is>
      </c>
      <c r="Z3" s="37" t="inlineStr">
        <is>
          <t>Conductividad Eléctrica</t>
        </is>
      </c>
      <c r="AA3" s="353" t="inlineStr">
        <is>
          <t>pH</t>
        </is>
      </c>
      <c r="AB3" s="37" t="inlineStr">
        <is>
          <t>Sólidos Totales  Disueltos</t>
        </is>
      </c>
      <c r="AC3" s="32" t="inlineStr">
        <is>
          <t>Temperatura</t>
        </is>
      </c>
      <c r="AD3" s="38" t="n"/>
      <c r="AE3" s="38" t="n"/>
      <c r="AF3" s="38" t="n"/>
      <c r="AG3" s="32" t="inlineStr">
        <is>
          <t>Turbidez</t>
        </is>
      </c>
      <c r="AH3" s="32" t="inlineStr">
        <is>
          <t>Nitratos  (NO3-)</t>
        </is>
      </c>
      <c r="AI3" s="32" t="inlineStr">
        <is>
          <t>Nitritos  (NO2-)</t>
        </is>
      </c>
      <c r="AJ3" s="32" t="inlineStr">
        <is>
          <t>Cobre (Cu)</t>
        </is>
      </c>
      <c r="AK3" s="37" t="inlineStr">
        <is>
          <t>Cromo Hexavalente (Cr6+)</t>
        </is>
      </c>
      <c r="AL3" s="32" t="inlineStr">
        <is>
          <t>Manganeso (Mn)</t>
        </is>
      </c>
      <c r="AM3" s="32" t="inlineStr">
        <is>
          <t>Zinc (Zn)</t>
        </is>
      </c>
      <c r="AN3" s="32" t="inlineStr">
        <is>
          <t>Hierro (Fe)</t>
        </is>
      </c>
      <c r="AO3" s="32" t="inlineStr">
        <is>
          <t>Sulfatos  (SO₄²-)</t>
        </is>
      </c>
      <c r="AP3" s="32" t="inlineStr">
        <is>
          <t>Coliformes
Totales</t>
        </is>
      </c>
      <c r="AQ3" s="32" t="inlineStr">
        <is>
          <t>Coliformes
Termotolerantes</t>
        </is>
      </c>
      <c r="AR3" s="32" t="inlineStr">
        <is>
          <t>Escherichia coli</t>
        </is>
      </c>
    </row>
    <row r="4" ht="15.75" customHeight="1" thickBot="1">
      <c r="B4" s="32" t="inlineStr">
        <is>
          <t>UM</t>
        </is>
      </c>
      <c r="C4" s="429" t="n"/>
      <c r="D4" s="430" t="n"/>
      <c r="E4" s="431" t="n"/>
      <c r="F4" s="33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5" t="n"/>
      <c r="T4" s="431" t="n"/>
      <c r="U4" s="36" t="n"/>
      <c r="V4" s="431" t="n"/>
      <c r="W4" s="431" t="n"/>
      <c r="X4" s="431" t="n"/>
      <c r="Y4" s="431" t="n"/>
      <c r="Z4" s="32" t="inlineStr">
        <is>
          <t>µmho/cm</t>
        </is>
      </c>
      <c r="AA4" s="431" t="n"/>
      <c r="AB4" s="32" t="inlineStr">
        <is>
          <t>mg/L</t>
        </is>
      </c>
      <c r="AC4" s="32" t="n"/>
      <c r="AD4" s="38" t="n"/>
      <c r="AE4" s="38" t="n"/>
      <c r="AF4" s="38" t="n"/>
      <c r="AG4" s="39" t="inlineStr">
        <is>
          <t>NTU</t>
        </is>
      </c>
      <c r="AH4" s="32" t="inlineStr">
        <is>
          <t>mg/L</t>
        </is>
      </c>
      <c r="AI4" s="32" t="inlineStr">
        <is>
          <t>mg/L</t>
        </is>
      </c>
      <c r="AJ4" s="32" t="inlineStr">
        <is>
          <t>mg/L</t>
        </is>
      </c>
      <c r="AK4" s="32" t="inlineStr">
        <is>
          <t>mg/L</t>
        </is>
      </c>
      <c r="AL4" s="32" t="inlineStr">
        <is>
          <t>mg/L</t>
        </is>
      </c>
      <c r="AM4" s="32" t="inlineStr">
        <is>
          <t>mg/L</t>
        </is>
      </c>
      <c r="AN4" s="32" t="inlineStr">
        <is>
          <t>mg/L</t>
        </is>
      </c>
      <c r="AO4" s="32" t="inlineStr">
        <is>
          <t>mg/L</t>
        </is>
      </c>
      <c r="AP4" s="32" t="inlineStr">
        <is>
          <t>UFC/100 ml</t>
        </is>
      </c>
      <c r="AQ4" s="32" t="inlineStr">
        <is>
          <t>UFC/100 ml</t>
        </is>
      </c>
      <c r="AR4" s="32" t="inlineStr">
        <is>
          <t>UFC/100 ml</t>
        </is>
      </c>
    </row>
    <row r="5" ht="15.75" customHeight="1" thickBot="1">
      <c r="B5" s="32" t="inlineStr">
        <is>
          <t>DS N° 031-2010-SA</t>
        </is>
      </c>
      <c r="C5" s="353" t="inlineStr">
        <is>
          <t>Este</t>
        </is>
      </c>
      <c r="D5" s="353" t="inlineStr">
        <is>
          <t>Norte</t>
        </is>
      </c>
      <c r="E5" s="353" t="inlineStr">
        <is>
          <t>ANTIGUO</t>
        </is>
      </c>
      <c r="F5" s="33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5" t="n"/>
      <c r="T5" s="37" t="inlineStr">
        <is>
          <t>CONSUMO HUMANO</t>
        </is>
      </c>
      <c r="U5" s="36" t="n"/>
      <c r="V5" s="32" t="inlineStr">
        <is>
          <t>-</t>
        </is>
      </c>
      <c r="W5" s="32" t="inlineStr">
        <is>
          <t>-</t>
        </is>
      </c>
      <c r="X5" s="32" t="inlineStr">
        <is>
          <t>-</t>
        </is>
      </c>
      <c r="Y5" s="32" t="inlineStr">
        <is>
          <t>-</t>
        </is>
      </c>
      <c r="Z5" s="432" t="n">
        <v>1500</v>
      </c>
      <c r="AA5" s="32" t="inlineStr">
        <is>
          <t>6.5-8.5</t>
        </is>
      </c>
      <c r="AB5" s="41" t="n">
        <v>1000</v>
      </c>
      <c r="AC5" s="32" t="inlineStr">
        <is>
          <t>-</t>
        </is>
      </c>
      <c r="AD5" s="38" t="n"/>
      <c r="AE5" s="38" t="n"/>
      <c r="AF5" s="38" t="n"/>
      <c r="AG5" s="42" t="n">
        <v>5</v>
      </c>
      <c r="AH5" s="32" t="n">
        <v>50</v>
      </c>
      <c r="AI5" s="32" t="n">
        <v>3</v>
      </c>
      <c r="AJ5" s="32" t="n">
        <v>2</v>
      </c>
      <c r="AK5" s="32" t="n">
        <v>0.05</v>
      </c>
      <c r="AL5" s="32" t="n">
        <v>0.4</v>
      </c>
      <c r="AM5" s="32" t="n">
        <v>3</v>
      </c>
      <c r="AN5" s="32" t="n">
        <v>0.3</v>
      </c>
      <c r="AO5" s="32" t="n">
        <v>250</v>
      </c>
      <c r="AP5" s="32" t="n">
        <v>0</v>
      </c>
      <c r="AQ5" s="32" t="n">
        <v>0</v>
      </c>
      <c r="AR5" s="32" t="n">
        <v>0</v>
      </c>
    </row>
    <row r="6" ht="15.75" customHeight="1" thickBot="1">
      <c r="B6" s="353" t="inlineStr">
        <is>
          <t>DS N° 004-2017 MINAM</t>
        </is>
      </c>
      <c r="C6" s="386" t="n"/>
      <c r="D6" s="386" t="n"/>
      <c r="E6" s="386" t="n"/>
      <c r="F6" s="33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5" t="n"/>
      <c r="T6" s="37" t="inlineStr">
        <is>
          <t>RIEGO VEGETALES</t>
        </is>
      </c>
      <c r="U6" s="36" t="n"/>
      <c r="V6" s="32" t="inlineStr">
        <is>
          <t>-</t>
        </is>
      </c>
      <c r="W6" s="32" t="inlineStr">
        <is>
          <t>-</t>
        </is>
      </c>
      <c r="X6" s="32" t="inlineStr">
        <is>
          <t>-</t>
        </is>
      </c>
      <c r="Y6" s="32" t="inlineStr">
        <is>
          <t>-</t>
        </is>
      </c>
      <c r="Z6" s="432" t="n">
        <v>2500</v>
      </c>
      <c r="AA6" s="32" t="inlineStr">
        <is>
          <t>6,5 – 8,5</t>
        </is>
      </c>
      <c r="AB6" s="32" t="inlineStr">
        <is>
          <t>-</t>
        </is>
      </c>
      <c r="AC6" s="32" t="inlineStr">
        <is>
          <t>-</t>
        </is>
      </c>
      <c r="AD6" s="38" t="n"/>
      <c r="AE6" s="38" t="n"/>
      <c r="AF6" s="38" t="n"/>
      <c r="AG6" s="32" t="inlineStr">
        <is>
          <t>-</t>
        </is>
      </c>
      <c r="AH6" s="43" t="n">
        <v>100</v>
      </c>
      <c r="AI6" s="32" t="n">
        <v>10</v>
      </c>
      <c r="AJ6" s="32" t="n">
        <v>0.2</v>
      </c>
      <c r="AK6" s="32" t="n">
        <v>5</v>
      </c>
      <c r="AL6" s="32" t="n">
        <v>0.2</v>
      </c>
      <c r="AM6" s="32" t="n">
        <v>2</v>
      </c>
      <c r="AN6" s="32" t="n">
        <v>5</v>
      </c>
      <c r="AO6" s="32" t="n">
        <v>1000</v>
      </c>
      <c r="AP6" s="32" t="inlineStr">
        <is>
          <t>*</t>
        </is>
      </c>
      <c r="AQ6" s="340" t="inlineStr">
        <is>
          <t>*</t>
        </is>
      </c>
      <c r="AR6" s="433" t="n"/>
    </row>
    <row r="7" ht="30" customHeight="1" thickBot="1">
      <c r="B7" s="431" t="n"/>
      <c r="C7" s="431" t="n"/>
      <c r="D7" s="431" t="n"/>
      <c r="E7" s="431" t="n"/>
      <c r="F7" s="44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6" t="n"/>
      <c r="T7" s="47" t="inlineStr">
        <is>
          <t>CONSUMO DE ANIMALES</t>
        </is>
      </c>
      <c r="U7" s="48" t="n"/>
      <c r="V7" s="42" t="inlineStr">
        <is>
          <t>-</t>
        </is>
      </c>
      <c r="W7" s="42" t="inlineStr">
        <is>
          <t>-</t>
        </is>
      </c>
      <c r="X7" s="42" t="inlineStr">
        <is>
          <t>-</t>
        </is>
      </c>
      <c r="Y7" s="42" t="inlineStr">
        <is>
          <t>-</t>
        </is>
      </c>
      <c r="Z7" s="434" t="n">
        <v>5000</v>
      </c>
      <c r="AA7" s="42" t="inlineStr">
        <is>
          <t>6,5 – 8,4</t>
        </is>
      </c>
      <c r="AB7" s="42" t="inlineStr">
        <is>
          <t>-</t>
        </is>
      </c>
      <c r="AC7" s="42" t="inlineStr">
        <is>
          <t>-</t>
        </is>
      </c>
      <c r="AD7" s="38" t="n"/>
      <c r="AE7" s="38" t="n"/>
      <c r="AF7" s="38" t="n"/>
      <c r="AG7" s="32" t="inlineStr">
        <is>
          <t>-</t>
        </is>
      </c>
      <c r="AH7" s="50" t="n">
        <v>100</v>
      </c>
      <c r="AI7" s="42" t="n">
        <v>10</v>
      </c>
      <c r="AJ7" s="42" t="n">
        <v>0.5</v>
      </c>
      <c r="AK7" s="42" t="inlineStr">
        <is>
          <t>-</t>
        </is>
      </c>
      <c r="AL7" s="42" t="n">
        <v>0.2</v>
      </c>
      <c r="AM7" s="42" t="n">
        <v>24</v>
      </c>
      <c r="AN7" s="42" t="inlineStr">
        <is>
          <t>-</t>
        </is>
      </c>
      <c r="AO7" s="42" t="n">
        <v>1000</v>
      </c>
      <c r="AP7" s="42" t="inlineStr">
        <is>
          <t>*</t>
        </is>
      </c>
      <c r="AQ7" s="342" t="inlineStr">
        <is>
          <t>*</t>
        </is>
      </c>
      <c r="AR7" s="428" t="n"/>
    </row>
    <row r="8" ht="9" customHeight="1" thickBot="1">
      <c r="B8" s="51" t="n"/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2" t="n"/>
      <c r="U8" s="51" t="n"/>
      <c r="V8" s="51" t="n"/>
      <c r="W8" s="51" t="n"/>
      <c r="X8" s="51" t="n"/>
      <c r="Y8" s="51" t="n"/>
      <c r="Z8" s="435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</row>
    <row r="9" ht="20.25" customFormat="1" customHeight="1" s="54">
      <c r="B9" s="55" t="n">
        <v>1</v>
      </c>
      <c r="C9" s="56" t="n">
        <v>696857</v>
      </c>
      <c r="D9" s="57" t="n">
        <v>9116136</v>
      </c>
      <c r="E9" s="58" t="inlineStr">
        <is>
          <t>CH-184A</t>
        </is>
      </c>
      <c r="F9" s="59" t="n"/>
      <c r="G9" s="60" t="inlineStr">
        <is>
          <t>LA LIBERTAD</t>
        </is>
      </c>
      <c r="H9" s="60" t="inlineStr">
        <is>
          <t>ASCOPE</t>
        </is>
      </c>
      <c r="I9" s="60" t="inlineStr">
        <is>
          <t>SANTIAGO DE CAO</t>
        </is>
      </c>
      <c r="J9" s="60" t="inlineStr">
        <is>
          <t>IZQUIERDA</t>
        </is>
      </c>
      <c r="K9" s="60" t="n"/>
      <c r="L9" s="60" t="inlineStr">
        <is>
          <t>HUARMEY-CHICAMA</t>
        </is>
      </c>
      <c r="M9" s="60" t="inlineStr">
        <is>
          <t>CHICAMA</t>
        </is>
      </c>
      <c r="N9" s="60" t="inlineStr">
        <is>
          <t>Unidad Hidrografica 137719</t>
        </is>
      </c>
      <c r="O9" s="60" t="n"/>
      <c r="P9" s="60" t="n">
        <v>17</v>
      </c>
      <c r="Q9" s="60" t="n">
        <v>0</v>
      </c>
      <c r="R9" s="60" t="n"/>
      <c r="S9" s="61" t="inlineStr">
        <is>
          <t>TASE</t>
        </is>
      </c>
      <c r="T9" s="62" t="inlineStr">
        <is>
          <t>CONSUMO HUMANO</t>
        </is>
      </c>
      <c r="U9" s="63" t="n">
        <v>45407</v>
      </c>
      <c r="V9" s="62" t="n">
        <v>0.5</v>
      </c>
      <c r="W9" s="62" t="n">
        <v>0.73</v>
      </c>
      <c r="X9" s="62" t="n">
        <v>0.23</v>
      </c>
      <c r="Y9" s="55" t="n">
        <v>0</v>
      </c>
      <c r="Z9" s="436" t="n">
        <v>820</v>
      </c>
      <c r="AA9" s="437" t="n">
        <v>8.359999999999999</v>
      </c>
      <c r="AB9" s="436" t="n">
        <v>397</v>
      </c>
      <c r="AC9" s="437" t="n">
        <v>25.3</v>
      </c>
      <c r="AD9" s="59" t="n"/>
      <c r="AE9" s="60" t="inlineStr">
        <is>
          <t>VISITADO</t>
        </is>
      </c>
      <c r="AF9" s="61" t="inlineStr">
        <is>
          <t>2024-04-25T11:31:42.480</t>
        </is>
      </c>
      <c r="AG9" s="66" t="n">
        <v>0.62</v>
      </c>
      <c r="AH9" s="437" t="n">
        <v>1.2</v>
      </c>
      <c r="AI9" s="67" t="n">
        <v>14</v>
      </c>
      <c r="AJ9" s="438" t="n">
        <v>0.23</v>
      </c>
      <c r="AK9" s="69" t="n">
        <v>0.023</v>
      </c>
      <c r="AL9" s="70" t="inlineStr">
        <is>
          <t>(1)</t>
        </is>
      </c>
      <c r="AM9" s="439" t="n">
        <v>0.25</v>
      </c>
      <c r="AN9" s="440" t="n">
        <v>1.065</v>
      </c>
      <c r="AO9" s="73" t="n">
        <v>165</v>
      </c>
      <c r="AP9" s="74" t="n">
        <v>120</v>
      </c>
      <c r="AQ9" s="75" t="n">
        <v>0</v>
      </c>
      <c r="AR9" s="75" t="n">
        <v>0</v>
      </c>
    </row>
    <row r="10" ht="20.25" customHeight="1">
      <c r="B10" s="76" t="n">
        <v>2</v>
      </c>
      <c r="C10" s="77" t="n">
        <v>695062</v>
      </c>
      <c r="D10" s="78" t="n">
        <v>9117727</v>
      </c>
      <c r="E10" s="79" t="inlineStr">
        <is>
          <t>CH-181A</t>
        </is>
      </c>
      <c r="F10" s="80" t="n"/>
      <c r="G10" s="81" t="inlineStr">
        <is>
          <t>LA LIBERTAD</t>
        </is>
      </c>
      <c r="H10" s="81" t="inlineStr">
        <is>
          <t>ASCOPE</t>
        </is>
      </c>
      <c r="I10" s="81" t="inlineStr">
        <is>
          <t>SANTIAGO DE CAO</t>
        </is>
      </c>
      <c r="J10" s="81" t="inlineStr">
        <is>
          <t>IZQUIERDA</t>
        </is>
      </c>
      <c r="K10" s="81" t="n"/>
      <c r="L10" s="81" t="inlineStr">
        <is>
          <t>HUARMEY-CHICAMA</t>
        </is>
      </c>
      <c r="M10" s="81" t="inlineStr">
        <is>
          <t>CHICAMA</t>
        </is>
      </c>
      <c r="N10" s="81" t="inlineStr">
        <is>
          <t>Unidad Hidrografica 137719</t>
        </is>
      </c>
      <c r="O10" s="81" t="n"/>
      <c r="P10" s="81" t="n">
        <v>17</v>
      </c>
      <c r="Q10" s="81" t="n">
        <v>0</v>
      </c>
      <c r="R10" s="81" t="inlineStr">
        <is>
          <t>GARCIA ALDANA, LUIS JOSE</t>
        </is>
      </c>
      <c r="S10" s="82" t="inlineStr">
        <is>
          <t>TASE</t>
        </is>
      </c>
      <c r="T10" s="83" t="inlineStr">
        <is>
          <t>NE</t>
        </is>
      </c>
      <c r="U10" s="84" t="n">
        <v>45407</v>
      </c>
      <c r="V10" s="83" t="n">
        <v>1</v>
      </c>
      <c r="W10" s="83" t="n">
        <v>1.2</v>
      </c>
      <c r="X10" s="83" t="n">
        <v>0.2</v>
      </c>
      <c r="Y10" s="76" t="n">
        <v>0</v>
      </c>
      <c r="Z10" s="441" t="n">
        <v>1501</v>
      </c>
      <c r="AA10" s="442" t="n">
        <v>8.220000000000001</v>
      </c>
      <c r="AB10" s="443" t="n">
        <v>774</v>
      </c>
      <c r="AC10" s="442" t="n">
        <v>23.5</v>
      </c>
      <c r="AD10" s="80" t="inlineStr">
        <is>
          <t>ABANDONADO</t>
        </is>
      </c>
      <c r="AE10" s="81" t="inlineStr">
        <is>
          <t>VISITADO</t>
        </is>
      </c>
      <c r="AF10" s="82" t="inlineStr">
        <is>
          <t>2024-04-25T11:48:05.205</t>
        </is>
      </c>
      <c r="AG10" s="88" t="n">
        <v>15.3</v>
      </c>
      <c r="AH10" s="442" t="n">
        <v>1.3</v>
      </c>
      <c r="AI10" s="89" t="n">
        <v>7</v>
      </c>
      <c r="AJ10" s="444" t="n">
        <v>1.09</v>
      </c>
      <c r="AK10" s="91" t="n">
        <v>0.038</v>
      </c>
      <c r="AL10" s="92" t="inlineStr">
        <is>
          <t>(1)</t>
        </is>
      </c>
      <c r="AM10" s="445" t="n">
        <v>0.18</v>
      </c>
      <c r="AN10" s="446" t="n">
        <v>0.453</v>
      </c>
      <c r="AO10" s="95" t="n">
        <v>245</v>
      </c>
      <c r="AP10" s="96" t="inlineStr">
        <is>
          <t>*</t>
        </is>
      </c>
      <c r="AQ10" s="97" t="inlineStr">
        <is>
          <t>*</t>
        </is>
      </c>
      <c r="AR10" s="97" t="inlineStr">
        <is>
          <t>*</t>
        </is>
      </c>
    </row>
    <row r="11" ht="20.25" customHeight="1">
      <c r="B11" s="76" t="n">
        <v>3</v>
      </c>
      <c r="C11" s="77" t="n">
        <v>693968</v>
      </c>
      <c r="D11" s="78" t="n">
        <v>9118350</v>
      </c>
      <c r="E11" s="79" t="inlineStr">
        <is>
          <t>CH-189B</t>
        </is>
      </c>
      <c r="F11" s="80" t="n"/>
      <c r="G11" s="81" t="inlineStr">
        <is>
          <t>LA LIBERTAD</t>
        </is>
      </c>
      <c r="H11" s="81" t="inlineStr">
        <is>
          <t>ASCOPE</t>
        </is>
      </c>
      <c r="I11" s="81" t="inlineStr">
        <is>
          <t>SANTIAGO DE CAO</t>
        </is>
      </c>
      <c r="J11" s="81" t="inlineStr">
        <is>
          <t>IZQUIERDA</t>
        </is>
      </c>
      <c r="K11" s="81" t="n"/>
      <c r="L11" s="81" t="inlineStr">
        <is>
          <t>HUARMEY-CHICAMA</t>
        </is>
      </c>
      <c r="M11" s="81" t="inlineStr">
        <is>
          <t>CHICAMA</t>
        </is>
      </c>
      <c r="N11" s="81" t="inlineStr">
        <is>
          <t>Unidad Hidrografica 137719</t>
        </is>
      </c>
      <c r="O11" s="81" t="inlineStr">
        <is>
          <t>1899-12-30</t>
        </is>
      </c>
      <c r="P11" s="81" t="n">
        <v>17</v>
      </c>
      <c r="Q11" s="81" t="n">
        <v>0</v>
      </c>
      <c r="R11" s="81" t="inlineStr">
        <is>
          <t>RAMOS QUIROZ, RICARDO CESAR</t>
        </is>
      </c>
      <c r="S11" s="82" t="inlineStr">
        <is>
          <t>TASE</t>
        </is>
      </c>
      <c r="T11" s="83" t="inlineStr">
        <is>
          <t>AGRICOLA</t>
        </is>
      </c>
      <c r="U11" s="84" t="n">
        <v>45407</v>
      </c>
      <c r="V11" s="83" t="n">
        <v>0.1</v>
      </c>
      <c r="W11" s="83" t="n">
        <v>2.18</v>
      </c>
      <c r="X11" s="83" t="n">
        <v>2.08</v>
      </c>
      <c r="Y11" s="76" t="n">
        <v>0</v>
      </c>
      <c r="Z11" s="441" t="n">
        <v>9210</v>
      </c>
      <c r="AA11" s="442" t="n">
        <v>7.09</v>
      </c>
      <c r="AB11" s="441" t="n">
        <v>5100</v>
      </c>
      <c r="AC11" s="442" t="n">
        <v>24.1</v>
      </c>
      <c r="AD11" s="80" t="inlineStr">
        <is>
          <t>ABANDONADO</t>
        </is>
      </c>
      <c r="AE11" s="81" t="inlineStr">
        <is>
          <t>VISITADO</t>
        </is>
      </c>
      <c r="AF11" s="82" t="inlineStr">
        <is>
          <t>2024-04-25T12:13:03.072</t>
        </is>
      </c>
      <c r="AG11" s="88" t="n">
        <v>10.4</v>
      </c>
      <c r="AH11" s="442" t="n">
        <v>1.1</v>
      </c>
      <c r="AI11" s="98" t="n">
        <v>13</v>
      </c>
      <c r="AJ11" s="444" t="n">
        <v>1.29</v>
      </c>
      <c r="AK11" s="91" t="n">
        <v>0.022</v>
      </c>
      <c r="AL11" s="92" t="inlineStr">
        <is>
          <t>(1)</t>
        </is>
      </c>
      <c r="AM11" s="445" t="n">
        <v>0.24</v>
      </c>
      <c r="AN11" s="446" t="n">
        <v>0.625</v>
      </c>
      <c r="AO11" s="99" t="n">
        <v>255</v>
      </c>
      <c r="AP11" s="96" t="inlineStr">
        <is>
          <t>*</t>
        </is>
      </c>
      <c r="AQ11" s="97" t="inlineStr">
        <is>
          <t>*</t>
        </is>
      </c>
      <c r="AR11" s="97" t="inlineStr">
        <is>
          <t>*</t>
        </is>
      </c>
    </row>
    <row r="12" ht="20.25" customHeight="1">
      <c r="B12" s="76" t="n">
        <v>4</v>
      </c>
      <c r="C12" s="77" t="n">
        <v>693561</v>
      </c>
      <c r="D12" s="78" t="n">
        <v>9119487</v>
      </c>
      <c r="E12" s="79" t="inlineStr">
        <is>
          <t>CH-159</t>
        </is>
      </c>
      <c r="F12" s="80" t="n"/>
      <c r="G12" s="81" t="inlineStr">
        <is>
          <t>LA LIBERTAD</t>
        </is>
      </c>
      <c r="H12" s="81" t="inlineStr">
        <is>
          <t>ASCOPE</t>
        </is>
      </c>
      <c r="I12" s="81" t="inlineStr">
        <is>
          <t>SANTIAGO DE CAO</t>
        </is>
      </c>
      <c r="J12" s="81" t="inlineStr">
        <is>
          <t>IZQUIERDA</t>
        </is>
      </c>
      <c r="K12" s="81" t="n"/>
      <c r="L12" s="81" t="inlineStr">
        <is>
          <t>HUARMEY-CHICAMA</t>
        </is>
      </c>
      <c r="M12" s="81" t="inlineStr">
        <is>
          <t>CHICAMA</t>
        </is>
      </c>
      <c r="N12" s="81" t="inlineStr">
        <is>
          <t>Unidad Hidrografica 137719</t>
        </is>
      </c>
      <c r="O12" s="81" t="n"/>
      <c r="P12" s="81" t="n">
        <v>17</v>
      </c>
      <c r="Q12" s="81" t="n">
        <v>0</v>
      </c>
      <c r="R12" s="81" t="inlineStr">
        <is>
          <t>RUIZ PULIDO, LUIS ALBERTO</t>
        </is>
      </c>
      <c r="S12" s="82" t="inlineStr">
        <is>
          <t>TASE</t>
        </is>
      </c>
      <c r="T12" s="83" t="inlineStr">
        <is>
          <t>AGRICOLA</t>
        </is>
      </c>
      <c r="U12" s="84" t="n">
        <v>45407</v>
      </c>
      <c r="V12" s="83" t="n">
        <v>0.5</v>
      </c>
      <c r="W12" s="83" t="n">
        <v>1.74</v>
      </c>
      <c r="X12" s="83" t="n">
        <v>1.24</v>
      </c>
      <c r="Y12" s="76" t="n">
        <v>0</v>
      </c>
      <c r="Z12" s="441" t="n">
        <v>2600</v>
      </c>
      <c r="AA12" s="442" t="n">
        <v>7.36</v>
      </c>
      <c r="AB12" s="441" t="n">
        <v>1341</v>
      </c>
      <c r="AC12" s="442" t="n">
        <v>24.6</v>
      </c>
      <c r="AD12" s="80" t="n"/>
      <c r="AE12" s="81" t="inlineStr">
        <is>
          <t>VISITADO</t>
        </is>
      </c>
      <c r="AF12" s="82" t="inlineStr">
        <is>
          <t>2024-04-25T12:31:57.396</t>
        </is>
      </c>
      <c r="AG12" s="100" t="n">
        <v>3.63</v>
      </c>
      <c r="AH12" s="442" t="n">
        <v>1</v>
      </c>
      <c r="AI12" s="89" t="n">
        <v>9</v>
      </c>
      <c r="AJ12" s="444" t="n">
        <v>1.83</v>
      </c>
      <c r="AK12" s="91" t="n">
        <v>0.057</v>
      </c>
      <c r="AL12" s="92" t="inlineStr">
        <is>
          <t>(1)</t>
        </is>
      </c>
      <c r="AM12" s="445" t="n">
        <v>0.2</v>
      </c>
      <c r="AN12" s="446" t="n">
        <v>1.5</v>
      </c>
      <c r="AO12" s="99" t="n">
        <v>325</v>
      </c>
      <c r="AP12" s="96" t="inlineStr">
        <is>
          <t>*</t>
        </is>
      </c>
      <c r="AQ12" s="97" t="inlineStr">
        <is>
          <t>*</t>
        </is>
      </c>
      <c r="AR12" s="97" t="inlineStr">
        <is>
          <t>*</t>
        </is>
      </c>
    </row>
    <row r="13" ht="20.25" customHeight="1">
      <c r="B13" s="76" t="n">
        <v>5</v>
      </c>
      <c r="C13" s="77" t="n">
        <v>693497</v>
      </c>
      <c r="D13" s="78" t="n">
        <v>9121986</v>
      </c>
      <c r="E13" s="79" t="inlineStr">
        <is>
          <t>CH-83A</t>
        </is>
      </c>
      <c r="F13" s="80" t="inlineStr">
        <is>
          <t>IRHS-13-02-07-328</t>
        </is>
      </c>
      <c r="G13" s="81" t="inlineStr">
        <is>
          <t>LA LIBERTAD</t>
        </is>
      </c>
      <c r="H13" s="81" t="inlineStr">
        <is>
          <t>ASCOPE</t>
        </is>
      </c>
      <c r="I13" s="81" t="inlineStr">
        <is>
          <t>SANTIAGO DE CAO</t>
        </is>
      </c>
      <c r="J13" s="81" t="inlineStr">
        <is>
          <t>IZQUIERDA</t>
        </is>
      </c>
      <c r="K13" s="81" t="n"/>
      <c r="L13" s="81" t="inlineStr">
        <is>
          <t>HUARMEY-CHICAMA</t>
        </is>
      </c>
      <c r="M13" s="81" t="inlineStr">
        <is>
          <t>CHICAMA</t>
        </is>
      </c>
      <c r="N13" s="81" t="inlineStr">
        <is>
          <t>Unidad Hidrografica 137719</t>
        </is>
      </c>
      <c r="O13" s="81" t="n">
        <v>41865</v>
      </c>
      <c r="P13" s="81" t="n">
        <v>17</v>
      </c>
      <c r="Q13" s="81" t="n">
        <v>0</v>
      </c>
      <c r="R13" s="81" t="inlineStr">
        <is>
          <t>FELIPE SOLANO SÁNCHEZ</t>
        </is>
      </c>
      <c r="S13" s="82" t="inlineStr">
        <is>
          <t>TASE</t>
        </is>
      </c>
      <c r="T13" s="83" t="inlineStr">
        <is>
          <t>AGRÍCOLA</t>
        </is>
      </c>
      <c r="U13" s="84" t="n">
        <v>45408</v>
      </c>
      <c r="V13" s="83" t="n">
        <v>0</v>
      </c>
      <c r="W13" s="83" t="n">
        <v>0.75</v>
      </c>
      <c r="X13" s="83" t="n">
        <v>0.75</v>
      </c>
      <c r="Y13" s="76" t="n">
        <v>0</v>
      </c>
      <c r="Z13" s="441" t="n">
        <v>2119</v>
      </c>
      <c r="AA13" s="447" t="n">
        <v>9</v>
      </c>
      <c r="AB13" s="441" t="n">
        <v>1103</v>
      </c>
      <c r="AC13" s="442" t="n">
        <v>23.4</v>
      </c>
      <c r="AD13" s="80" t="n"/>
      <c r="AE13" s="81" t="inlineStr">
        <is>
          <t>VISITADO</t>
        </is>
      </c>
      <c r="AF13" s="82" t="inlineStr">
        <is>
          <t>2024-04-26T08:49:45.692</t>
        </is>
      </c>
      <c r="AG13" s="88" t="n">
        <v>9.16</v>
      </c>
      <c r="AH13" s="442" t="n">
        <v>0.8</v>
      </c>
      <c r="AI13" s="102" t="n">
        <v>10</v>
      </c>
      <c r="AJ13" s="444" t="n">
        <v>1.13</v>
      </c>
      <c r="AK13" s="103" t="n">
        <v>0.081</v>
      </c>
      <c r="AL13" s="92" t="inlineStr">
        <is>
          <t>(1)</t>
        </is>
      </c>
      <c r="AM13" s="445" t="n">
        <v>0.08</v>
      </c>
      <c r="AN13" s="446" t="n">
        <v>2.307</v>
      </c>
      <c r="AO13" s="99" t="n">
        <v>350</v>
      </c>
      <c r="AP13" s="96" t="inlineStr">
        <is>
          <t>*</t>
        </is>
      </c>
      <c r="AQ13" s="97" t="inlineStr">
        <is>
          <t>*</t>
        </is>
      </c>
      <c r="AR13" s="97" t="inlineStr">
        <is>
          <t>*</t>
        </is>
      </c>
    </row>
    <row r="14" ht="20.25" customFormat="1" customHeight="1" s="54">
      <c r="B14" s="104" t="n">
        <v>6</v>
      </c>
      <c r="C14" s="105" t="n">
        <v>694859</v>
      </c>
      <c r="D14" s="106" t="n">
        <v>9121180</v>
      </c>
      <c r="E14" s="107" t="inlineStr">
        <is>
          <t>CH-138A</t>
        </is>
      </c>
      <c r="F14" s="108" t="n"/>
      <c r="G14" s="109" t="inlineStr">
        <is>
          <t>LA LIBERTAD</t>
        </is>
      </c>
      <c r="H14" s="109" t="inlineStr">
        <is>
          <t>ASCOPE</t>
        </is>
      </c>
      <c r="I14" s="109" t="inlineStr">
        <is>
          <t>SANTIAGO DE CAO</t>
        </is>
      </c>
      <c r="J14" s="109" t="inlineStr">
        <is>
          <t>IZQUIERDA</t>
        </is>
      </c>
      <c r="K14" s="109" t="n"/>
      <c r="L14" s="109" t="inlineStr">
        <is>
          <t>HUARMEY-CHICAMA</t>
        </is>
      </c>
      <c r="M14" s="109" t="inlineStr">
        <is>
          <t>CHICAMA</t>
        </is>
      </c>
      <c r="N14" s="109" t="inlineStr">
        <is>
          <t>Intercuenca 137719</t>
        </is>
      </c>
      <c r="O14" s="109" t="inlineStr">
        <is>
          <t>1899-12-30</t>
        </is>
      </c>
      <c r="P14" s="109" t="n">
        <v>17</v>
      </c>
      <c r="Q14" s="109" t="n">
        <v>0</v>
      </c>
      <c r="R14" s="109" t="inlineStr">
        <is>
          <t>ALFARO QUINTEROS, MANUEL</t>
        </is>
      </c>
      <c r="S14" s="110" t="inlineStr">
        <is>
          <t>TACE</t>
        </is>
      </c>
      <c r="T14" s="111" t="inlineStr">
        <is>
          <t>CONSUMO HUMANO-AGRICOLA</t>
        </is>
      </c>
      <c r="U14" s="112" t="n">
        <v>45407</v>
      </c>
      <c r="V14" s="111" t="n">
        <v>0.55</v>
      </c>
      <c r="W14" s="111" t="n">
        <v>1.41</v>
      </c>
      <c r="X14" s="111" t="n">
        <v>0.86</v>
      </c>
      <c r="Y14" s="104" t="n">
        <v>0</v>
      </c>
      <c r="Z14" s="448" t="n">
        <v>2062</v>
      </c>
      <c r="AA14" s="449" t="n">
        <v>7.68</v>
      </c>
      <c r="AB14" s="448" t="n">
        <v>1059</v>
      </c>
      <c r="AC14" s="449" t="n">
        <v>24.3</v>
      </c>
      <c r="AD14" s="108" t="n"/>
      <c r="AE14" s="109" t="inlineStr">
        <is>
          <t>VISITADO</t>
        </is>
      </c>
      <c r="AF14" s="110" t="inlineStr">
        <is>
          <t>2024-04-25T15:26:58.251</t>
        </is>
      </c>
      <c r="AG14" s="115" t="n">
        <v>4.71</v>
      </c>
      <c r="AH14" s="449" t="n">
        <v>0.5</v>
      </c>
      <c r="AI14" s="116" t="n">
        <v>13</v>
      </c>
      <c r="AJ14" s="450" t="n">
        <v>1.48</v>
      </c>
      <c r="AK14" s="118" t="n">
        <v>0.028</v>
      </c>
      <c r="AL14" s="119" t="inlineStr">
        <is>
          <t>(1)</t>
        </is>
      </c>
      <c r="AM14" s="451" t="n">
        <v>0.19</v>
      </c>
      <c r="AN14" s="452" t="n">
        <v>1.6</v>
      </c>
      <c r="AO14" s="122" t="n">
        <v>345</v>
      </c>
      <c r="AP14" s="123" t="n">
        <v>200</v>
      </c>
      <c r="AQ14" s="124" t="n">
        <v>0</v>
      </c>
      <c r="AR14" s="124" t="n">
        <v>0</v>
      </c>
    </row>
    <row r="15" ht="20.25" customHeight="1">
      <c r="B15" s="76" t="n">
        <v>7</v>
      </c>
      <c r="C15" s="77" t="n">
        <v>694308</v>
      </c>
      <c r="D15" s="78" t="n">
        <v>9123700</v>
      </c>
      <c r="E15" s="79" t="inlineStr">
        <is>
          <t>CH-20</t>
        </is>
      </c>
      <c r="F15" s="80" t="inlineStr">
        <is>
          <t>IRHS-13-02-07-277</t>
        </is>
      </c>
      <c r="G15" s="81" t="inlineStr">
        <is>
          <t>LA LIBERTAD</t>
        </is>
      </c>
      <c r="H15" s="81" t="inlineStr">
        <is>
          <t>ASCOPE</t>
        </is>
      </c>
      <c r="I15" s="81" t="inlineStr">
        <is>
          <t>SANTIAGO DE CAO</t>
        </is>
      </c>
      <c r="J15" s="81" t="inlineStr">
        <is>
          <t>IZQUIERDA</t>
        </is>
      </c>
      <c r="K15" s="81" t="n"/>
      <c r="L15" s="81" t="inlineStr">
        <is>
          <t>HUARMEY-CHICAMA</t>
        </is>
      </c>
      <c r="M15" s="81" t="inlineStr">
        <is>
          <t>CHICAMA</t>
        </is>
      </c>
      <c r="N15" s="81" t="inlineStr">
        <is>
          <t>Unidad Hidrografica 137719</t>
        </is>
      </c>
      <c r="O15" s="81" t="n"/>
      <c r="P15" s="81" t="n">
        <v>17</v>
      </c>
      <c r="Q15" s="81" t="n">
        <v>0</v>
      </c>
      <c r="R15" s="81" t="n"/>
      <c r="S15" s="82" t="inlineStr">
        <is>
          <t>TASE</t>
        </is>
      </c>
      <c r="T15" s="83" t="inlineStr">
        <is>
          <t>NE</t>
        </is>
      </c>
      <c r="U15" s="84" t="n">
        <v>45407</v>
      </c>
      <c r="V15" s="83" t="n">
        <v>0.3</v>
      </c>
      <c r="W15" s="83" t="n">
        <v>1.29</v>
      </c>
      <c r="X15" s="83" t="n">
        <v>0.99</v>
      </c>
      <c r="Y15" s="76" t="n">
        <v>0</v>
      </c>
      <c r="Z15" s="441" t="n">
        <v>2182</v>
      </c>
      <c r="AA15" s="442" t="n">
        <v>7.04</v>
      </c>
      <c r="AB15" s="441" t="n">
        <v>1130</v>
      </c>
      <c r="AC15" s="442" t="n">
        <v>23.9</v>
      </c>
      <c r="AD15" s="80" t="inlineStr">
        <is>
          <t>NUEVO</t>
        </is>
      </c>
      <c r="AE15" s="81" t="inlineStr">
        <is>
          <t>VISITADO</t>
        </is>
      </c>
      <c r="AF15" s="82" t="inlineStr">
        <is>
          <t>2024-04-25T14:43:43.188</t>
        </is>
      </c>
      <c r="AG15" s="100" t="n">
        <v>4.35</v>
      </c>
      <c r="AH15" s="442" t="n">
        <v>0.4</v>
      </c>
      <c r="AI15" s="98" t="n">
        <v>11</v>
      </c>
      <c r="AJ15" s="444" t="n">
        <v>1.32</v>
      </c>
      <c r="AK15" s="91" t="n">
        <v>0.019</v>
      </c>
      <c r="AL15" s="92" t="inlineStr">
        <is>
          <t>(1)</t>
        </is>
      </c>
      <c r="AM15" s="445" t="n">
        <v>0.08</v>
      </c>
      <c r="AN15" s="444" t="n">
        <v>0.151</v>
      </c>
      <c r="AO15" s="99" t="n">
        <v>350</v>
      </c>
      <c r="AP15" s="96" t="inlineStr">
        <is>
          <t>*</t>
        </is>
      </c>
      <c r="AQ15" s="97" t="inlineStr">
        <is>
          <t>*</t>
        </is>
      </c>
      <c r="AR15" s="97" t="inlineStr">
        <is>
          <t>*</t>
        </is>
      </c>
    </row>
    <row r="16" ht="20.25" customHeight="1">
      <c r="B16" s="76" t="n">
        <v>8</v>
      </c>
      <c r="C16" s="77" t="n">
        <v>699474</v>
      </c>
      <c r="D16" s="78" t="n">
        <v>9122213</v>
      </c>
      <c r="E16" s="79" t="inlineStr">
        <is>
          <t>CH-192B</t>
        </is>
      </c>
      <c r="F16" s="80" t="n"/>
      <c r="G16" s="81" t="inlineStr">
        <is>
          <t>LA LIBERTAD</t>
        </is>
      </c>
      <c r="H16" s="81" t="inlineStr">
        <is>
          <t>ASCOPE</t>
        </is>
      </c>
      <c r="I16" s="81" t="inlineStr">
        <is>
          <t>SANTIAGO DE CAO</t>
        </is>
      </c>
      <c r="J16" s="81" t="inlineStr">
        <is>
          <t>IZQUIERDA</t>
        </is>
      </c>
      <c r="K16" s="81" t="n"/>
      <c r="L16" s="81" t="inlineStr">
        <is>
          <t>HUARMEY-CHICAMA</t>
        </is>
      </c>
      <c r="M16" s="81" t="inlineStr">
        <is>
          <t>CHICAMA</t>
        </is>
      </c>
      <c r="N16" s="81" t="inlineStr">
        <is>
          <t>Unidad Hidrografica 137719</t>
        </is>
      </c>
      <c r="O16" s="81" t="inlineStr">
        <is>
          <t>1899-12-30</t>
        </is>
      </c>
      <c r="P16" s="81" t="n">
        <v>17</v>
      </c>
      <c r="Q16" s="81" t="n">
        <v>0</v>
      </c>
      <c r="R16" s="81" t="inlineStr">
        <is>
          <t>ROSAS CRUZ, JOSE ARCEMIO</t>
        </is>
      </c>
      <c r="S16" s="82" t="inlineStr">
        <is>
          <t>TASE</t>
        </is>
      </c>
      <c r="T16" s="83" t="inlineStr">
        <is>
          <t>AGRICOLA</t>
        </is>
      </c>
      <c r="U16" s="84" t="n">
        <v>45407</v>
      </c>
      <c r="V16" s="83" t="n">
        <v>0.7</v>
      </c>
      <c r="W16" s="83" t="n">
        <v>2.54</v>
      </c>
      <c r="X16" s="83" t="n">
        <v>1.84</v>
      </c>
      <c r="Y16" s="76" t="n">
        <v>0</v>
      </c>
      <c r="Z16" s="443" t="n">
        <v>1305</v>
      </c>
      <c r="AA16" s="442" t="n">
        <v>7.33</v>
      </c>
      <c r="AB16" s="443" t="n">
        <v>653</v>
      </c>
      <c r="AC16" s="442" t="n">
        <v>24.6</v>
      </c>
      <c r="AD16" s="80" t="n"/>
      <c r="AE16" s="81" t="inlineStr">
        <is>
          <t>VISITADO</t>
        </is>
      </c>
      <c r="AF16" s="82" t="inlineStr">
        <is>
          <t>2024-04-25T09:35:22.295</t>
        </is>
      </c>
      <c r="AG16" s="100" t="n">
        <v>1.83</v>
      </c>
      <c r="AH16" s="442" t="n">
        <v>1.5</v>
      </c>
      <c r="AI16" s="98" t="n">
        <v>19</v>
      </c>
      <c r="AJ16" s="444" t="n">
        <v>1.23</v>
      </c>
      <c r="AK16" s="91" t="n">
        <v>0.018</v>
      </c>
      <c r="AL16" s="92" t="inlineStr">
        <is>
          <t>(1)</t>
        </is>
      </c>
      <c r="AM16" s="445" t="n">
        <v>0.17</v>
      </c>
      <c r="AN16" s="446" t="n">
        <v>1.573</v>
      </c>
      <c r="AO16" s="99" t="n">
        <v>315</v>
      </c>
      <c r="AP16" s="96" t="inlineStr">
        <is>
          <t>*</t>
        </is>
      </c>
      <c r="AQ16" s="97" t="inlineStr">
        <is>
          <t>*</t>
        </is>
      </c>
      <c r="AR16" s="97" t="inlineStr">
        <is>
          <t>*</t>
        </is>
      </c>
    </row>
    <row r="17" ht="20.25" customFormat="1" customHeight="1" s="54">
      <c r="B17" s="104" t="n">
        <v>9</v>
      </c>
      <c r="C17" s="105" t="n">
        <v>698396</v>
      </c>
      <c r="D17" s="106" t="n">
        <v>9121585</v>
      </c>
      <c r="E17" s="107" t="inlineStr">
        <is>
          <t>CH-191A-1</t>
        </is>
      </c>
      <c r="F17" s="108" t="n"/>
      <c r="G17" s="109" t="inlineStr">
        <is>
          <t>LA LIBERTAD</t>
        </is>
      </c>
      <c r="H17" s="109" t="inlineStr">
        <is>
          <t>ASCOPE</t>
        </is>
      </c>
      <c r="I17" s="109" t="inlineStr">
        <is>
          <t>SANTIAGO DE CAO</t>
        </is>
      </c>
      <c r="J17" s="109" t="inlineStr">
        <is>
          <t>IZQUIERDA</t>
        </is>
      </c>
      <c r="K17" s="109" t="n"/>
      <c r="L17" s="109" t="inlineStr">
        <is>
          <t>HUARMEY-CHICAMA</t>
        </is>
      </c>
      <c r="M17" s="109" t="inlineStr">
        <is>
          <t>CHICAMA</t>
        </is>
      </c>
      <c r="N17" s="109" t="inlineStr">
        <is>
          <t>Unidad Hidrografica 137719</t>
        </is>
      </c>
      <c r="O17" s="109" t="n"/>
      <c r="P17" s="109" t="n">
        <v>17</v>
      </c>
      <c r="Q17" s="109" t="n">
        <v>0</v>
      </c>
      <c r="R17" s="109" t="inlineStr">
        <is>
          <t>SUCESION DE GUEVARA PEÑA, SALUSTIO</t>
        </is>
      </c>
      <c r="S17" s="110" t="inlineStr">
        <is>
          <t>TACE</t>
        </is>
      </c>
      <c r="T17" s="111" t="inlineStr">
        <is>
          <t>AGRÍCOLA Y CONSUMO HUMANO</t>
        </is>
      </c>
      <c r="U17" s="112" t="n">
        <v>45407</v>
      </c>
      <c r="V17" s="111" t="n">
        <v>0</v>
      </c>
      <c r="W17" s="111" t="n">
        <v>1.7</v>
      </c>
      <c r="X17" s="111" t="n">
        <v>1.7</v>
      </c>
      <c r="Y17" s="104" t="n">
        <v>0</v>
      </c>
      <c r="Z17" s="448" t="n">
        <v>1727</v>
      </c>
      <c r="AA17" s="449" t="n">
        <v>7.37</v>
      </c>
      <c r="AB17" s="453" t="n">
        <v>876</v>
      </c>
      <c r="AC17" s="449" t="n">
        <v>24.3</v>
      </c>
      <c r="AD17" s="108" t="n"/>
      <c r="AE17" s="109" t="inlineStr">
        <is>
          <t>VISITADO</t>
        </is>
      </c>
      <c r="AF17" s="110" t="inlineStr">
        <is>
          <t>2024-04-25T10:07:24.482</t>
        </is>
      </c>
      <c r="AG17" s="115" t="n">
        <v>4.43</v>
      </c>
      <c r="AH17" s="449" t="n">
        <v>0.9</v>
      </c>
      <c r="AI17" s="126" t="n">
        <v>8</v>
      </c>
      <c r="AJ17" s="450" t="n">
        <v>1.67</v>
      </c>
      <c r="AK17" s="118" t="n">
        <v>0.016</v>
      </c>
      <c r="AL17" s="119" t="inlineStr">
        <is>
          <t>(1)</t>
        </is>
      </c>
      <c r="AM17" s="451" t="n">
        <v>0.03</v>
      </c>
      <c r="AN17" s="452" t="n">
        <v>2.14</v>
      </c>
      <c r="AO17" s="122" t="n">
        <v>290</v>
      </c>
      <c r="AP17" s="123" t="n">
        <v>100</v>
      </c>
      <c r="AQ17" s="124" t="n">
        <v>0</v>
      </c>
      <c r="AR17" s="124" t="n">
        <v>0</v>
      </c>
    </row>
    <row r="18" ht="20.25" customHeight="1">
      <c r="B18" s="76" t="n">
        <v>10</v>
      </c>
      <c r="C18" s="77" t="n">
        <v>698119</v>
      </c>
      <c r="D18" s="78" t="n">
        <v>9120306</v>
      </c>
      <c r="E18" s="79" t="inlineStr">
        <is>
          <t>CH-193</t>
        </is>
      </c>
      <c r="F18" s="80" t="inlineStr">
        <is>
          <t>IRHS-13-02-07-380</t>
        </is>
      </c>
      <c r="G18" s="81" t="inlineStr">
        <is>
          <t>LA LIBERTAD</t>
        </is>
      </c>
      <c r="H18" s="81" t="inlineStr">
        <is>
          <t>ASCOPE</t>
        </is>
      </c>
      <c r="I18" s="81" t="inlineStr">
        <is>
          <t>SANTIAGO DE CAO</t>
        </is>
      </c>
      <c r="J18" s="81" t="inlineStr">
        <is>
          <t>IZQUIERDA</t>
        </is>
      </c>
      <c r="K18" s="81" t="n"/>
      <c r="L18" s="81" t="inlineStr">
        <is>
          <t>HUARMEY-CHICAMA</t>
        </is>
      </c>
      <c r="M18" s="81" t="inlineStr">
        <is>
          <t>CHICAMA</t>
        </is>
      </c>
      <c r="N18" s="81" t="inlineStr">
        <is>
          <t>Unidad Hidrografica 137719</t>
        </is>
      </c>
      <c r="O18" s="81" t="n"/>
      <c r="P18" s="81" t="n">
        <v>17</v>
      </c>
      <c r="Q18" s="81" t="n">
        <v>0</v>
      </c>
      <c r="R18" s="81" t="inlineStr">
        <is>
          <t>SCHMIEL BALTODANO, VICTOR HUMBERTO</t>
        </is>
      </c>
      <c r="S18" s="82" t="inlineStr">
        <is>
          <t>TASE</t>
        </is>
      </c>
      <c r="T18" s="83" t="inlineStr">
        <is>
          <t>ABANDONADO</t>
        </is>
      </c>
      <c r="U18" s="84" t="n">
        <v>45407</v>
      </c>
      <c r="V18" s="83" t="n">
        <v>1</v>
      </c>
      <c r="W18" s="83" t="n">
        <v>2.41</v>
      </c>
      <c r="X18" s="83" t="n">
        <v>1.41</v>
      </c>
      <c r="Y18" s="76" t="n">
        <v>0</v>
      </c>
      <c r="Z18" s="441" t="n">
        <v>1825</v>
      </c>
      <c r="AA18" s="442" t="n">
        <v>7.69</v>
      </c>
      <c r="AB18" s="443" t="n">
        <v>937</v>
      </c>
      <c r="AC18" s="442" t="n">
        <v>24</v>
      </c>
      <c r="AD18" s="80" t="inlineStr">
        <is>
          <t>ABANDONADO</t>
        </is>
      </c>
      <c r="AE18" s="81" t="inlineStr">
        <is>
          <t>VISITADO</t>
        </is>
      </c>
      <c r="AF18" s="82" t="inlineStr">
        <is>
          <t>2024-04-25T10:22:40.729</t>
        </is>
      </c>
      <c r="AG18" s="100" t="n">
        <v>1.4</v>
      </c>
      <c r="AH18" s="442" t="n">
        <v>0.4</v>
      </c>
      <c r="AI18" s="98" t="n">
        <v>15</v>
      </c>
      <c r="AJ18" s="444" t="n">
        <v>1.16</v>
      </c>
      <c r="AK18" s="91" t="n">
        <v>0.054</v>
      </c>
      <c r="AL18" s="92" t="inlineStr">
        <is>
          <t>(1)</t>
        </is>
      </c>
      <c r="AM18" s="445" t="n">
        <v>0.02</v>
      </c>
      <c r="AN18" s="446" t="n">
        <v>1.537</v>
      </c>
      <c r="AO18" s="99" t="n">
        <v>315</v>
      </c>
      <c r="AP18" s="96" t="inlineStr">
        <is>
          <t>*</t>
        </is>
      </c>
      <c r="AQ18" s="97" t="inlineStr">
        <is>
          <t>*</t>
        </is>
      </c>
      <c r="AR18" s="97" t="inlineStr">
        <is>
          <t>*</t>
        </is>
      </c>
    </row>
    <row r="19" ht="20.25" customHeight="1">
      <c r="B19" s="76" t="n">
        <v>11</v>
      </c>
      <c r="C19" s="77" t="n">
        <v>697646</v>
      </c>
      <c r="D19" s="78" t="n">
        <v>9118601</v>
      </c>
      <c r="E19" s="79" t="inlineStr">
        <is>
          <t>CH-185B</t>
        </is>
      </c>
      <c r="F19" s="80" t="n"/>
      <c r="G19" s="81" t="inlineStr">
        <is>
          <t>LA LIBERTAD</t>
        </is>
      </c>
      <c r="H19" s="81" t="inlineStr">
        <is>
          <t>ASCOPE</t>
        </is>
      </c>
      <c r="I19" s="81" t="inlineStr">
        <is>
          <t>SANTIAGO DE CAO</t>
        </is>
      </c>
      <c r="J19" s="81" t="inlineStr">
        <is>
          <t>IZQUIERDA</t>
        </is>
      </c>
      <c r="K19" s="81" t="n"/>
      <c r="L19" s="81" t="inlineStr">
        <is>
          <t>HUARMEY-CHICAMA</t>
        </is>
      </c>
      <c r="M19" s="81" t="inlineStr">
        <is>
          <t>CHICAMA</t>
        </is>
      </c>
      <c r="N19" s="81" t="inlineStr">
        <is>
          <t>Unidad Hidrografica 137719</t>
        </is>
      </c>
      <c r="O19" s="81" t="n"/>
      <c r="P19" s="81" t="n">
        <v>17</v>
      </c>
      <c r="Q19" s="81" t="n">
        <v>0</v>
      </c>
      <c r="R19" s="81" t="inlineStr">
        <is>
          <t>RODRIGUEZ MORENO, FRANCISCO Y EDITA</t>
        </is>
      </c>
      <c r="S19" s="82" t="inlineStr">
        <is>
          <t>TASE</t>
        </is>
      </c>
      <c r="T19" s="83" t="inlineStr">
        <is>
          <t>AGRICOLA</t>
        </is>
      </c>
      <c r="U19" s="84" t="n">
        <v>45407</v>
      </c>
      <c r="V19" s="83" t="n">
        <v>1.7</v>
      </c>
      <c r="W19" s="83" t="n">
        <v>5.92</v>
      </c>
      <c r="X19" s="83" t="n">
        <v>4.22</v>
      </c>
      <c r="Y19" s="76" t="n">
        <v>0</v>
      </c>
      <c r="Z19" s="441" t="n">
        <v>1878</v>
      </c>
      <c r="AA19" s="442" t="n">
        <v>8.1</v>
      </c>
      <c r="AB19" s="443" t="n">
        <v>970</v>
      </c>
      <c r="AC19" s="442" t="n">
        <v>24</v>
      </c>
      <c r="AD19" s="80" t="n"/>
      <c r="AE19" s="81" t="inlineStr">
        <is>
          <t>VISITADO</t>
        </is>
      </c>
      <c r="AF19" s="82" t="inlineStr">
        <is>
          <t>2024-04-25T10:40:13.307</t>
        </is>
      </c>
      <c r="AG19" s="100" t="n">
        <v>4.01</v>
      </c>
      <c r="AH19" s="442" t="n">
        <v>1.1</v>
      </c>
      <c r="AI19" s="98" t="n">
        <v>14</v>
      </c>
      <c r="AJ19" s="444" t="n">
        <v>1.81</v>
      </c>
      <c r="AK19" s="91" t="n">
        <v>0.016</v>
      </c>
      <c r="AL19" s="92" t="inlineStr">
        <is>
          <t>(1)</t>
        </is>
      </c>
      <c r="AM19" s="445" t="n">
        <v>0.01</v>
      </c>
      <c r="AN19" s="446" t="n">
        <v>1.823</v>
      </c>
      <c r="AO19" s="99" t="n">
        <v>320</v>
      </c>
      <c r="AP19" s="96" t="inlineStr">
        <is>
          <t>*</t>
        </is>
      </c>
      <c r="AQ19" s="97" t="inlineStr">
        <is>
          <t>*</t>
        </is>
      </c>
      <c r="AR19" s="97" t="inlineStr">
        <is>
          <t>*</t>
        </is>
      </c>
    </row>
    <row r="20" ht="20.25" customHeight="1">
      <c r="B20" s="76" t="n">
        <v>12</v>
      </c>
      <c r="C20" s="77" t="n">
        <v>696468</v>
      </c>
      <c r="D20" s="78" t="n">
        <v>9119049</v>
      </c>
      <c r="E20" s="79" t="inlineStr">
        <is>
          <t>CH-185A</t>
        </is>
      </c>
      <c r="F20" s="80" t="n"/>
      <c r="G20" s="81" t="inlineStr">
        <is>
          <t>LA LIBERTAD</t>
        </is>
      </c>
      <c r="H20" s="81" t="inlineStr">
        <is>
          <t>ASCOPE</t>
        </is>
      </c>
      <c r="I20" s="81" t="inlineStr">
        <is>
          <t>SANTIAGO DE CAO</t>
        </is>
      </c>
      <c r="J20" s="81" t="inlineStr">
        <is>
          <t>IZQUIERDA</t>
        </is>
      </c>
      <c r="K20" s="81" t="n"/>
      <c r="L20" s="81" t="inlineStr">
        <is>
          <t>HUARMEY-CHICAMA</t>
        </is>
      </c>
      <c r="M20" s="81" t="inlineStr">
        <is>
          <t>CHICAMA</t>
        </is>
      </c>
      <c r="N20" s="81" t="inlineStr">
        <is>
          <t>Unidad Hidrografica 137719</t>
        </is>
      </c>
      <c r="O20" s="81" t="n"/>
      <c r="P20" s="81" t="n">
        <v>17</v>
      </c>
      <c r="Q20" s="81" t="n">
        <v>0</v>
      </c>
      <c r="R20" s="81" t="inlineStr">
        <is>
          <t>CARRANZA TIZNADO, LORENZO TEOFILO</t>
        </is>
      </c>
      <c r="S20" s="82" t="inlineStr">
        <is>
          <t>TASE</t>
        </is>
      </c>
      <c r="T20" s="83" t="inlineStr">
        <is>
          <t>AGRICOLA</t>
        </is>
      </c>
      <c r="U20" s="84" t="n">
        <v>45407</v>
      </c>
      <c r="V20" s="83" t="n">
        <v>-0.95</v>
      </c>
      <c r="W20" s="83" t="n">
        <v>0.59</v>
      </c>
      <c r="X20" s="83" t="n">
        <v>1.54</v>
      </c>
      <c r="Y20" s="76" t="n">
        <v>0</v>
      </c>
      <c r="Z20" s="441" t="n">
        <v>3120</v>
      </c>
      <c r="AA20" s="442" t="n">
        <v>7.3</v>
      </c>
      <c r="AB20" s="441" t="n">
        <v>1581</v>
      </c>
      <c r="AC20" s="442" t="n">
        <v>25.9</v>
      </c>
      <c r="AD20" s="80" t="n"/>
      <c r="AE20" s="81" t="inlineStr">
        <is>
          <t>VISITADO</t>
        </is>
      </c>
      <c r="AF20" s="82" t="inlineStr">
        <is>
          <t>2024-04-25T11:12:13.954</t>
        </is>
      </c>
      <c r="AG20" s="100" t="n">
        <v>3.84</v>
      </c>
      <c r="AH20" s="442" t="n">
        <v>0.2</v>
      </c>
      <c r="AI20" s="98" t="n">
        <v>12</v>
      </c>
      <c r="AJ20" s="444" t="n">
        <v>1.53</v>
      </c>
      <c r="AK20" s="91" t="n">
        <v>0.023</v>
      </c>
      <c r="AL20" s="92" t="inlineStr">
        <is>
          <t>(1)</t>
        </is>
      </c>
      <c r="AM20" s="445" t="n">
        <v>0.019</v>
      </c>
      <c r="AN20" s="446" t="n">
        <v>1.8</v>
      </c>
      <c r="AO20" s="99" t="n">
        <v>400</v>
      </c>
      <c r="AP20" s="96" t="inlineStr">
        <is>
          <t>*</t>
        </is>
      </c>
      <c r="AQ20" s="97" t="inlineStr">
        <is>
          <t>*</t>
        </is>
      </c>
      <c r="AR20" s="97" t="inlineStr">
        <is>
          <t>*</t>
        </is>
      </c>
    </row>
    <row r="21" ht="20.25" customHeight="1">
      <c r="B21" s="76" t="n">
        <v>13</v>
      </c>
      <c r="C21" s="77" t="n">
        <v>696492</v>
      </c>
      <c r="D21" s="78" t="n">
        <v>9117830</v>
      </c>
      <c r="E21" s="79" t="inlineStr">
        <is>
          <t>CH-184</t>
        </is>
      </c>
      <c r="F21" s="80" t="inlineStr">
        <is>
          <t>IRHS-13-02-07-373</t>
        </is>
      </c>
      <c r="G21" s="81" t="inlineStr">
        <is>
          <t>LA LIBERTAD</t>
        </is>
      </c>
      <c r="H21" s="81" t="inlineStr">
        <is>
          <t>ASCOPE</t>
        </is>
      </c>
      <c r="I21" s="81" t="inlineStr">
        <is>
          <t>SANTIAGO DE CAO</t>
        </is>
      </c>
      <c r="J21" s="81" t="inlineStr">
        <is>
          <t>IZQUIERDA</t>
        </is>
      </c>
      <c r="K21" s="81" t="n"/>
      <c r="L21" s="81" t="inlineStr">
        <is>
          <t>HUARMEY-CHICAMA</t>
        </is>
      </c>
      <c r="M21" s="81" t="inlineStr">
        <is>
          <t>CHICAMA</t>
        </is>
      </c>
      <c r="N21" s="81" t="inlineStr">
        <is>
          <t>Unidad Hidrografica 137719</t>
        </is>
      </c>
      <c r="O21" s="81" t="n">
        <v>41919</v>
      </c>
      <c r="P21" s="81" t="n">
        <v>17</v>
      </c>
      <c r="Q21" s="81" t="n">
        <v>0</v>
      </c>
      <c r="R21" s="81" t="inlineStr">
        <is>
          <t>FERNANDEZ HERNANDEZ, COSME</t>
        </is>
      </c>
      <c r="S21" s="82" t="inlineStr">
        <is>
          <t>TASE</t>
        </is>
      </c>
      <c r="T21" s="83" t="inlineStr">
        <is>
          <t>AGRICOLA</t>
        </is>
      </c>
      <c r="U21" s="84" t="n">
        <v>45407</v>
      </c>
      <c r="V21" s="83" t="n">
        <v>0</v>
      </c>
      <c r="W21" s="83" t="n">
        <v>0.5600000000000001</v>
      </c>
      <c r="X21" s="83" t="n">
        <v>0.5600000000000001</v>
      </c>
      <c r="Y21" s="76" t="n">
        <v>0</v>
      </c>
      <c r="Z21" s="441" t="n">
        <v>3240</v>
      </c>
      <c r="AA21" s="442" t="n">
        <v>7.61</v>
      </c>
      <c r="AB21" s="441" t="n">
        <v>1681</v>
      </c>
      <c r="AC21" s="442" t="n">
        <v>24.6</v>
      </c>
      <c r="AD21" s="80" t="n"/>
      <c r="AE21" s="81" t="inlineStr">
        <is>
          <t>VISITADO</t>
        </is>
      </c>
      <c r="AF21" s="82" t="inlineStr">
        <is>
          <t>2024-04-25T11:21:28.686</t>
        </is>
      </c>
      <c r="AG21" s="100" t="n">
        <v>1.22</v>
      </c>
      <c r="AH21" s="442" t="n">
        <v>0.8</v>
      </c>
      <c r="AI21" s="98" t="n">
        <v>14</v>
      </c>
      <c r="AJ21" s="444" t="n">
        <v>1.68</v>
      </c>
      <c r="AK21" s="91" t="n">
        <v>0.022</v>
      </c>
      <c r="AL21" s="92" t="inlineStr">
        <is>
          <t>(1)</t>
        </is>
      </c>
      <c r="AM21" s="445" t="n">
        <v>0.17</v>
      </c>
      <c r="AN21" s="446" t="n">
        <v>0.423</v>
      </c>
      <c r="AO21" s="99" t="n">
        <v>420</v>
      </c>
      <c r="AP21" s="96" t="inlineStr">
        <is>
          <t>*</t>
        </is>
      </c>
      <c r="AQ21" s="97" t="inlineStr">
        <is>
          <t>*</t>
        </is>
      </c>
      <c r="AR21" s="97" t="inlineStr">
        <is>
          <t>*</t>
        </is>
      </c>
    </row>
    <row r="22" ht="20.25" customFormat="1" customHeight="1" s="54">
      <c r="B22" s="104" t="n">
        <v>14</v>
      </c>
      <c r="C22" s="105" t="n">
        <v>694673</v>
      </c>
      <c r="D22" s="106" t="n">
        <v>9119544</v>
      </c>
      <c r="E22" s="107" t="inlineStr">
        <is>
          <t>CH-158</t>
        </is>
      </c>
      <c r="F22" s="108" t="inlineStr">
        <is>
          <t>IRHS-13-02-07-504</t>
        </is>
      </c>
      <c r="G22" s="109" t="inlineStr">
        <is>
          <t>LA LIBERTAD</t>
        </is>
      </c>
      <c r="H22" s="109" t="inlineStr">
        <is>
          <t>ASCOPE</t>
        </is>
      </c>
      <c r="I22" s="109" t="inlineStr">
        <is>
          <t>SANTIAGO DE CAO</t>
        </is>
      </c>
      <c r="J22" s="109" t="inlineStr">
        <is>
          <t>IZQUIERDA</t>
        </is>
      </c>
      <c r="K22" s="109" t="n"/>
      <c r="L22" s="109" t="inlineStr">
        <is>
          <t>HUARMEY-CHICAMA</t>
        </is>
      </c>
      <c r="M22" s="109" t="inlineStr">
        <is>
          <t>CHICAMA</t>
        </is>
      </c>
      <c r="N22" s="109" t="inlineStr">
        <is>
          <t>Unidad Hidrografica 137719</t>
        </is>
      </c>
      <c r="O22" s="109" t="n">
        <v>41862</v>
      </c>
      <c r="P22" s="109" t="n">
        <v>17</v>
      </c>
      <c r="Q22" s="109" t="n">
        <v>0</v>
      </c>
      <c r="R22" s="109" t="inlineStr">
        <is>
          <t>ANDRES GUTIERREZ PORTALES</t>
        </is>
      </c>
      <c r="S22" s="110" t="inlineStr">
        <is>
          <t>TASE</t>
        </is>
      </c>
      <c r="T22" s="111" t="inlineStr">
        <is>
          <t>CONSUMO HUMANO-AGRICOLA</t>
        </is>
      </c>
      <c r="U22" s="112" t="n">
        <v>45408</v>
      </c>
      <c r="V22" s="111" t="n">
        <v>0.8</v>
      </c>
      <c r="W22" s="111" t="n">
        <v>1.18</v>
      </c>
      <c r="X22" s="111" t="n">
        <v>0.38</v>
      </c>
      <c r="Y22" s="104" t="n">
        <v>0</v>
      </c>
      <c r="Z22" s="448" t="n">
        <v>1829</v>
      </c>
      <c r="AA22" s="449" t="n">
        <v>7.21</v>
      </c>
      <c r="AB22" s="453" t="n">
        <v>947</v>
      </c>
      <c r="AC22" s="449" t="n">
        <v>23.7</v>
      </c>
      <c r="AD22" s="108" t="n"/>
      <c r="AE22" s="109" t="inlineStr">
        <is>
          <t>VISITADO</t>
        </is>
      </c>
      <c r="AF22" s="110" t="inlineStr">
        <is>
          <t>2024-04-26T08:17:50.002</t>
        </is>
      </c>
      <c r="AG22" s="115" t="n">
        <v>2.73</v>
      </c>
      <c r="AH22" s="449" t="n">
        <v>0.9</v>
      </c>
      <c r="AI22" s="116" t="n">
        <v>12</v>
      </c>
      <c r="AJ22" s="450" t="n">
        <v>1.97</v>
      </c>
      <c r="AK22" s="118" t="n">
        <v>0.023</v>
      </c>
      <c r="AL22" s="119" t="inlineStr">
        <is>
          <t>(1)</t>
        </is>
      </c>
      <c r="AM22" s="451" t="n">
        <v>0.09</v>
      </c>
      <c r="AN22" s="452" t="n">
        <v>1.714</v>
      </c>
      <c r="AO22" s="122" t="n">
        <v>310</v>
      </c>
      <c r="AP22" s="123" t="n">
        <v>150</v>
      </c>
      <c r="AQ22" s="124" t="n">
        <v>0</v>
      </c>
      <c r="AR22" s="124" t="n">
        <v>0</v>
      </c>
    </row>
    <row r="23" ht="20.25" customHeight="1">
      <c r="B23" s="76" t="n">
        <v>15</v>
      </c>
      <c r="C23" s="77" t="n">
        <v>691380</v>
      </c>
      <c r="D23" s="78" t="n">
        <v>9121202</v>
      </c>
      <c r="E23" s="79" t="inlineStr">
        <is>
          <t>CH-77A-1</t>
        </is>
      </c>
      <c r="F23" s="80" t="n"/>
      <c r="G23" s="81" t="inlineStr">
        <is>
          <t>LA LIBERTAD</t>
        </is>
      </c>
      <c r="H23" s="81" t="inlineStr">
        <is>
          <t>ASCOPE</t>
        </is>
      </c>
      <c r="I23" s="81" t="inlineStr">
        <is>
          <t>SANTIAGO DE CAO</t>
        </is>
      </c>
      <c r="J23" s="81" t="inlineStr">
        <is>
          <t>IZQUIERDA</t>
        </is>
      </c>
      <c r="K23" s="81" t="n"/>
      <c r="L23" s="81" t="inlineStr">
        <is>
          <t>HUARMEY-CHICAMA</t>
        </is>
      </c>
      <c r="M23" s="81" t="inlineStr">
        <is>
          <t>CHICAMA</t>
        </is>
      </c>
      <c r="N23" s="81" t="inlineStr">
        <is>
          <t>Unidad Hidrografica 137719</t>
        </is>
      </c>
      <c r="O23" s="81" t="n"/>
      <c r="P23" s="81" t="n">
        <v>17</v>
      </c>
      <c r="Q23" s="81" t="n">
        <v>0</v>
      </c>
      <c r="R23" s="81" t="inlineStr">
        <is>
          <t>AGUIRRE GAMARRA, FELIX</t>
        </is>
      </c>
      <c r="S23" s="82" t="inlineStr">
        <is>
          <t>TASE</t>
        </is>
      </c>
      <c r="T23" s="83" t="inlineStr">
        <is>
          <t>AGRÍCOLA</t>
        </is>
      </c>
      <c r="U23" s="84" t="n">
        <v>45408</v>
      </c>
      <c r="V23" s="83" t="n">
        <v>0.4</v>
      </c>
      <c r="W23" s="83" t="n">
        <v>1.27</v>
      </c>
      <c r="X23" s="83" t="n">
        <v>0.87</v>
      </c>
      <c r="Y23" s="76" t="n">
        <v>0</v>
      </c>
      <c r="Z23" s="441" t="n">
        <v>3500</v>
      </c>
      <c r="AA23" s="442" t="n">
        <v>7.66</v>
      </c>
      <c r="AB23" s="441" t="n">
        <v>1853</v>
      </c>
      <c r="AC23" s="442" t="n">
        <v>23.6</v>
      </c>
      <c r="AD23" s="80" t="n"/>
      <c r="AE23" s="81" t="inlineStr">
        <is>
          <t>VISITADO</t>
        </is>
      </c>
      <c r="AF23" s="82" t="inlineStr">
        <is>
          <t>2024-04-26T09:21:05.269</t>
        </is>
      </c>
      <c r="AG23" s="100" t="n">
        <v>2.27</v>
      </c>
      <c r="AH23" s="442" t="n">
        <v>0.5</v>
      </c>
      <c r="AI23" s="98" t="n">
        <v>14</v>
      </c>
      <c r="AJ23" s="444" t="n">
        <v>1.39</v>
      </c>
      <c r="AK23" s="91" t="n">
        <v>0.019</v>
      </c>
      <c r="AL23" s="92" t="inlineStr">
        <is>
          <t>(1)</t>
        </is>
      </c>
      <c r="AM23" s="445" t="n">
        <v>0.18</v>
      </c>
      <c r="AN23" s="446" t="n">
        <v>1.789</v>
      </c>
      <c r="AO23" s="99" t="n">
        <v>435</v>
      </c>
      <c r="AP23" s="96" t="inlineStr">
        <is>
          <t>*</t>
        </is>
      </c>
      <c r="AQ23" s="97" t="inlineStr">
        <is>
          <t>*</t>
        </is>
      </c>
      <c r="AR23" s="97" t="inlineStr">
        <is>
          <t>*</t>
        </is>
      </c>
    </row>
    <row r="24" ht="20.25" customHeight="1">
      <c r="B24" s="76" t="n">
        <v>16</v>
      </c>
      <c r="C24" s="77" t="n">
        <v>690526</v>
      </c>
      <c r="D24" s="78" t="n">
        <v>9121471</v>
      </c>
      <c r="E24" s="79" t="inlineStr">
        <is>
          <t>CH-125A</t>
        </is>
      </c>
      <c r="F24" s="80" t="inlineStr">
        <is>
          <t>IRHS-13-02-07-301</t>
        </is>
      </c>
      <c r="G24" s="81" t="inlineStr">
        <is>
          <t>LA LIBERTAD</t>
        </is>
      </c>
      <c r="H24" s="81" t="inlineStr">
        <is>
          <t>ASCOPE</t>
        </is>
      </c>
      <c r="I24" s="81" t="inlineStr">
        <is>
          <t>SANTIAGO DE CAO</t>
        </is>
      </c>
      <c r="J24" s="81" t="inlineStr">
        <is>
          <t>IZQUIERDA</t>
        </is>
      </c>
      <c r="K24" s="81" t="n"/>
      <c r="L24" s="81" t="inlineStr">
        <is>
          <t>HUARMEY-CHICAMA</t>
        </is>
      </c>
      <c r="M24" s="81" t="inlineStr">
        <is>
          <t>CHICAMA</t>
        </is>
      </c>
      <c r="N24" s="81" t="inlineStr">
        <is>
          <t>Unidad Hidrografica 137719</t>
        </is>
      </c>
      <c r="O24" s="81" t="n"/>
      <c r="P24" s="81" t="n">
        <v>17</v>
      </c>
      <c r="Q24" s="81" t="n">
        <v>0</v>
      </c>
      <c r="R24" s="81" t="inlineStr">
        <is>
          <t>RAMOS VARGAS, SEGUNDO</t>
        </is>
      </c>
      <c r="S24" s="82" t="inlineStr">
        <is>
          <t>TASE</t>
        </is>
      </c>
      <c r="T24" s="83" t="inlineStr">
        <is>
          <t>AGRÍCOLA</t>
        </is>
      </c>
      <c r="U24" s="84" t="n">
        <v>45408</v>
      </c>
      <c r="V24" s="83" t="n">
        <v>0.25</v>
      </c>
      <c r="W24" s="83" t="n">
        <v>0.67</v>
      </c>
      <c r="X24" s="83" t="n">
        <v>0.42</v>
      </c>
      <c r="Y24" s="76" t="n">
        <v>0</v>
      </c>
      <c r="Z24" s="441" t="n">
        <v>2098</v>
      </c>
      <c r="AA24" s="442" t="n">
        <v>7.11</v>
      </c>
      <c r="AB24" s="441" t="n">
        <v>1099</v>
      </c>
      <c r="AC24" s="442" t="n">
        <v>23.3</v>
      </c>
      <c r="AD24" s="80" t="n"/>
      <c r="AE24" s="81" t="inlineStr">
        <is>
          <t>VISITADO</t>
        </is>
      </c>
      <c r="AF24" s="82" t="inlineStr">
        <is>
          <t>2024-04-26T09:31:32.030</t>
        </is>
      </c>
      <c r="AG24" s="88" t="n">
        <v>5.82</v>
      </c>
      <c r="AH24" s="442" t="n">
        <v>0.5</v>
      </c>
      <c r="AI24" s="98" t="n">
        <v>11</v>
      </c>
      <c r="AJ24" s="444" t="n">
        <v>1.94</v>
      </c>
      <c r="AK24" s="91" t="n">
        <v>0.033</v>
      </c>
      <c r="AL24" s="92" t="inlineStr">
        <is>
          <t>(1)</t>
        </is>
      </c>
      <c r="AM24" s="445" t="n">
        <v>0.16</v>
      </c>
      <c r="AN24" s="446" t="n">
        <v>1.176</v>
      </c>
      <c r="AO24" s="99" t="n">
        <v>350</v>
      </c>
      <c r="AP24" s="96" t="inlineStr">
        <is>
          <t>*</t>
        </is>
      </c>
      <c r="AQ24" s="97" t="inlineStr">
        <is>
          <t>*</t>
        </is>
      </c>
      <c r="AR24" s="97" t="inlineStr">
        <is>
          <t>*</t>
        </is>
      </c>
    </row>
    <row r="25" ht="20.25" customHeight="1">
      <c r="B25" s="76" t="n">
        <v>17</v>
      </c>
      <c r="C25" s="77" t="n">
        <v>690469</v>
      </c>
      <c r="D25" s="78" t="n">
        <v>9122595</v>
      </c>
      <c r="E25" s="79" t="inlineStr">
        <is>
          <t>CH-31A-1</t>
        </is>
      </c>
      <c r="F25" s="80" t="n"/>
      <c r="G25" s="81" t="inlineStr">
        <is>
          <t>LA LIBERTAD</t>
        </is>
      </c>
      <c r="H25" s="81" t="inlineStr">
        <is>
          <t>ASCOPE</t>
        </is>
      </c>
      <c r="I25" s="81" t="inlineStr">
        <is>
          <t>SANTIAGO DE CAO</t>
        </is>
      </c>
      <c r="J25" s="81" t="inlineStr">
        <is>
          <t>IZQUIERDA</t>
        </is>
      </c>
      <c r="K25" s="81" t="n"/>
      <c r="L25" s="81" t="inlineStr">
        <is>
          <t>HUARMEY-CHICAMA</t>
        </is>
      </c>
      <c r="M25" s="81" t="inlineStr">
        <is>
          <t>CHICAMA</t>
        </is>
      </c>
      <c r="N25" s="81" t="inlineStr">
        <is>
          <t>Intercuenca Chicama 137721</t>
        </is>
      </c>
      <c r="O25" s="81" t="n"/>
      <c r="P25" s="81" t="n">
        <v>17</v>
      </c>
      <c r="Q25" s="81" t="n">
        <v>0</v>
      </c>
      <c r="R25" s="81" t="inlineStr">
        <is>
          <t>REYES EUGENIO, JOSE MELECIO</t>
        </is>
      </c>
      <c r="S25" s="82" t="inlineStr">
        <is>
          <t>TACE</t>
        </is>
      </c>
      <c r="T25" s="83" t="inlineStr">
        <is>
          <t>AGRÍCOLA</t>
        </is>
      </c>
      <c r="U25" s="84" t="n">
        <v>45408</v>
      </c>
      <c r="V25" s="83" t="n">
        <v>-1.7</v>
      </c>
      <c r="W25" s="83" t="n">
        <v>0.6</v>
      </c>
      <c r="X25" s="83" t="n">
        <v>2.3</v>
      </c>
      <c r="Y25" s="76" t="n">
        <v>0</v>
      </c>
      <c r="Z25" s="441" t="n">
        <v>2270</v>
      </c>
      <c r="AA25" s="442" t="n">
        <v>7.54</v>
      </c>
      <c r="AB25" s="441" t="n">
        <v>1196</v>
      </c>
      <c r="AC25" s="442" t="n">
        <v>23.7</v>
      </c>
      <c r="AD25" s="80" t="n"/>
      <c r="AE25" s="81" t="inlineStr">
        <is>
          <t>VISITADO</t>
        </is>
      </c>
      <c r="AF25" s="82" t="inlineStr">
        <is>
          <t>2024-04-26T09:57:24.559</t>
        </is>
      </c>
      <c r="AG25" s="100" t="n">
        <v>3.37</v>
      </c>
      <c r="AH25" s="442" t="n">
        <v>0.6</v>
      </c>
      <c r="AI25" s="89" t="n">
        <v>4</v>
      </c>
      <c r="AJ25" s="444" t="n">
        <v>1.18</v>
      </c>
      <c r="AK25" s="91" t="n">
        <v>0.014</v>
      </c>
      <c r="AL25" s="92" t="inlineStr">
        <is>
          <t>(1)</t>
        </is>
      </c>
      <c r="AM25" s="445" t="n">
        <v>0.03</v>
      </c>
      <c r="AN25" s="91" t="n">
        <v>0.035</v>
      </c>
      <c r="AO25" s="99" t="n">
        <v>360</v>
      </c>
      <c r="AP25" s="96" t="inlineStr">
        <is>
          <t>*</t>
        </is>
      </c>
      <c r="AQ25" s="97" t="inlineStr">
        <is>
          <t>*</t>
        </is>
      </c>
      <c r="AR25" s="97" t="inlineStr">
        <is>
          <t>*</t>
        </is>
      </c>
    </row>
    <row r="26" ht="20.25" customFormat="1" customHeight="1" s="54">
      <c r="B26" s="104" t="n">
        <v>18</v>
      </c>
      <c r="C26" s="105" t="n">
        <v>691179</v>
      </c>
      <c r="D26" s="106" t="n">
        <v>9122980</v>
      </c>
      <c r="E26" s="107" t="inlineStr">
        <is>
          <t>CH-31</t>
        </is>
      </c>
      <c r="F26" s="108" t="inlineStr">
        <is>
          <t>IRHS-13-02-07-179</t>
        </is>
      </c>
      <c r="G26" s="109" t="inlineStr">
        <is>
          <t>LA LIBERTAD</t>
        </is>
      </c>
      <c r="H26" s="109" t="inlineStr">
        <is>
          <t>ASCOPE</t>
        </is>
      </c>
      <c r="I26" s="109" t="inlineStr">
        <is>
          <t>SANTIAGO DE CAO</t>
        </is>
      </c>
      <c r="J26" s="109" t="inlineStr">
        <is>
          <t>IZQUIERDA</t>
        </is>
      </c>
      <c r="K26" s="109" t="n"/>
      <c r="L26" s="109" t="inlineStr">
        <is>
          <t>HUARMEY-CHICAMA</t>
        </is>
      </c>
      <c r="M26" s="109" t="inlineStr">
        <is>
          <t>CHICAMA</t>
        </is>
      </c>
      <c r="N26" s="109" t="inlineStr">
        <is>
          <t>Intercuenca Chicama 137721</t>
        </is>
      </c>
      <c r="O26" s="109" t="n"/>
      <c r="P26" s="109" t="n">
        <v>17</v>
      </c>
      <c r="Q26" s="109" t="n">
        <v>0</v>
      </c>
      <c r="R26" s="109" t="n"/>
      <c r="S26" s="110" t="inlineStr">
        <is>
          <t>TASE</t>
        </is>
      </c>
      <c r="T26" s="111" t="inlineStr">
        <is>
          <t>CONSUMO HUMANO Y AGRÍCOLA</t>
        </is>
      </c>
      <c r="U26" s="112" t="n">
        <v>45408</v>
      </c>
      <c r="V26" s="111" t="n">
        <v>0.23</v>
      </c>
      <c r="W26" s="111" t="n">
        <v>3.03</v>
      </c>
      <c r="X26" s="111" t="n">
        <v>2.8</v>
      </c>
      <c r="Y26" s="104" t="n">
        <v>0</v>
      </c>
      <c r="Z26" s="448" t="n">
        <v>1960</v>
      </c>
      <c r="AA26" s="449" t="n">
        <v>7.67</v>
      </c>
      <c r="AB26" s="453" t="n">
        <v>989</v>
      </c>
      <c r="AC26" s="449" t="n">
        <v>25</v>
      </c>
      <c r="AD26" s="108" t="n"/>
      <c r="AE26" s="109" t="inlineStr">
        <is>
          <t>VISITADO</t>
        </is>
      </c>
      <c r="AF26" s="110" t="inlineStr">
        <is>
          <t>2024-04-26T10:10:37.867</t>
        </is>
      </c>
      <c r="AG26" s="127" t="n">
        <v>5.8</v>
      </c>
      <c r="AH26" s="449" t="n">
        <v>0.7</v>
      </c>
      <c r="AI26" s="126" t="n">
        <v>8</v>
      </c>
      <c r="AJ26" s="450" t="n">
        <v>1.5</v>
      </c>
      <c r="AK26" s="118" t="n">
        <v>0.019</v>
      </c>
      <c r="AL26" s="119" t="inlineStr">
        <is>
          <t>(1)</t>
        </is>
      </c>
      <c r="AM26" s="451" t="n">
        <v>0.13</v>
      </c>
      <c r="AN26" s="450" t="n">
        <v>0.054</v>
      </c>
      <c r="AO26" s="122" t="n">
        <v>340</v>
      </c>
      <c r="AP26" s="123" t="n">
        <v>100</v>
      </c>
      <c r="AQ26" s="124" t="n">
        <v>0</v>
      </c>
      <c r="AR26" s="124" t="n">
        <v>0</v>
      </c>
    </row>
    <row r="27" ht="20.25" customHeight="1">
      <c r="B27" s="76" t="n">
        <v>19</v>
      </c>
      <c r="C27" s="77" t="n">
        <v>690980</v>
      </c>
      <c r="D27" s="78" t="n">
        <v>9124239</v>
      </c>
      <c r="E27" s="79" t="inlineStr">
        <is>
          <t>CH-34B</t>
        </is>
      </c>
      <c r="F27" s="80" t="n"/>
      <c r="G27" s="81" t="inlineStr">
        <is>
          <t>LA LIBERTAD</t>
        </is>
      </c>
      <c r="H27" s="81" t="inlineStr">
        <is>
          <t>ASCOPE</t>
        </is>
      </c>
      <c r="I27" s="81" t="inlineStr">
        <is>
          <t>SANTIAGO DE CAO</t>
        </is>
      </c>
      <c r="J27" s="81" t="inlineStr">
        <is>
          <t>IZQUIERDA</t>
        </is>
      </c>
      <c r="K27" s="81" t="n"/>
      <c r="L27" s="81" t="inlineStr">
        <is>
          <t>HUARMEY-CHICAMA</t>
        </is>
      </c>
      <c r="M27" s="81" t="inlineStr">
        <is>
          <t>CHICAMA</t>
        </is>
      </c>
      <c r="N27" s="81" t="inlineStr">
        <is>
          <t>Intercuenca Chicama 137721</t>
        </is>
      </c>
      <c r="O27" s="81" t="n"/>
      <c r="P27" s="81" t="n">
        <v>17</v>
      </c>
      <c r="Q27" s="81" t="n">
        <v>0</v>
      </c>
      <c r="R27" s="81" t="n"/>
      <c r="S27" s="82" t="inlineStr">
        <is>
          <t>TASE</t>
        </is>
      </c>
      <c r="T27" s="83" t="inlineStr">
        <is>
          <t>AGRICOLA</t>
        </is>
      </c>
      <c r="U27" s="84" t="n">
        <v>45408</v>
      </c>
      <c r="V27" s="83" t="n">
        <v>0.3</v>
      </c>
      <c r="W27" s="83" t="n">
        <v>0.88</v>
      </c>
      <c r="X27" s="83" t="n">
        <v>0.58</v>
      </c>
      <c r="Y27" s="76" t="n">
        <v>0</v>
      </c>
      <c r="Z27" s="441" t="n">
        <v>2189</v>
      </c>
      <c r="AA27" s="442" t="n">
        <v>7.41</v>
      </c>
      <c r="AB27" s="441" t="n">
        <v>1111</v>
      </c>
      <c r="AC27" s="442" t="n">
        <v>25.3</v>
      </c>
      <c r="AD27" s="80" t="inlineStr">
        <is>
          <t>NUEVO</t>
        </is>
      </c>
      <c r="AE27" s="81" t="inlineStr">
        <is>
          <t>VISITADO</t>
        </is>
      </c>
      <c r="AF27" s="82" t="inlineStr">
        <is>
          <t>2024-04-26T10:42:23.292</t>
        </is>
      </c>
      <c r="AG27" s="100" t="n">
        <v>3.45</v>
      </c>
      <c r="AH27" s="442" t="n">
        <v>0.9</v>
      </c>
      <c r="AI27" s="98" t="n">
        <v>13</v>
      </c>
      <c r="AJ27" s="444" t="n">
        <v>1.33</v>
      </c>
      <c r="AK27" s="91" t="n">
        <v>0.02</v>
      </c>
      <c r="AL27" s="92" t="inlineStr">
        <is>
          <t>(1)</t>
        </is>
      </c>
      <c r="AM27" s="445" t="n">
        <v>0.32</v>
      </c>
      <c r="AN27" s="91" t="n">
        <v>0.039</v>
      </c>
      <c r="AO27" s="99" t="n">
        <v>360</v>
      </c>
      <c r="AP27" s="96" t="inlineStr">
        <is>
          <t>*</t>
        </is>
      </c>
      <c r="AQ27" s="97" t="inlineStr">
        <is>
          <t>*</t>
        </is>
      </c>
      <c r="AR27" s="97" t="inlineStr">
        <is>
          <t>*</t>
        </is>
      </c>
    </row>
    <row r="28" ht="20.25" customFormat="1" customHeight="1" s="54">
      <c r="B28" s="104" t="n">
        <v>20</v>
      </c>
      <c r="C28" s="105" t="n">
        <v>698962</v>
      </c>
      <c r="D28" s="106" t="n">
        <v>9124185</v>
      </c>
      <c r="E28" s="107" t="inlineStr">
        <is>
          <t>CH-320A</t>
        </is>
      </c>
      <c r="F28" s="108" t="inlineStr">
        <is>
          <t>IRHS-13-02-07-457</t>
        </is>
      </c>
      <c r="G28" s="109" t="inlineStr">
        <is>
          <t>LA LIBERTAD</t>
        </is>
      </c>
      <c r="H28" s="109" t="inlineStr">
        <is>
          <t>ASCOPE</t>
        </is>
      </c>
      <c r="I28" s="109" t="inlineStr">
        <is>
          <t>SANTIAGO DE CAO</t>
        </is>
      </c>
      <c r="J28" s="109" t="inlineStr">
        <is>
          <t>IZQUIERDA</t>
        </is>
      </c>
      <c r="K28" s="109" t="n"/>
      <c r="L28" s="109" t="inlineStr">
        <is>
          <t>HUARMEY-CHICAMA</t>
        </is>
      </c>
      <c r="M28" s="109" t="inlineStr">
        <is>
          <t>CHICAMA</t>
        </is>
      </c>
      <c r="N28" s="109" t="inlineStr">
        <is>
          <t>Unidad Hidrografica 137719</t>
        </is>
      </c>
      <c r="O28" s="109" t="n">
        <v>41899</v>
      </c>
      <c r="P28" s="109" t="n">
        <v>17</v>
      </c>
      <c r="Q28" s="109" t="n">
        <v>0</v>
      </c>
      <c r="R28" s="109" t="inlineStr">
        <is>
          <t>JESUS CARLOS OTINIANO ROSALES</t>
        </is>
      </c>
      <c r="S28" s="110" t="inlineStr">
        <is>
          <t>TASE</t>
        </is>
      </c>
      <c r="T28" s="111" t="inlineStr">
        <is>
          <t>HUMANO-AGRICOLA</t>
        </is>
      </c>
      <c r="U28" s="112" t="n">
        <v>45407</v>
      </c>
      <c r="V28" s="111" t="n">
        <v>0.65</v>
      </c>
      <c r="W28" s="111" t="n">
        <v>2.29</v>
      </c>
      <c r="X28" s="111" t="n">
        <v>1.64</v>
      </c>
      <c r="Y28" s="104" t="n">
        <v>0</v>
      </c>
      <c r="Z28" s="454" t="n">
        <v>1412</v>
      </c>
      <c r="AA28" s="449" t="n">
        <v>7.33</v>
      </c>
      <c r="AB28" s="453" t="n">
        <v>698</v>
      </c>
      <c r="AC28" s="449" t="n">
        <v>25.3</v>
      </c>
      <c r="AD28" s="108" t="n"/>
      <c r="AE28" s="109" t="inlineStr">
        <is>
          <t>VISITADO</t>
        </is>
      </c>
      <c r="AF28" s="110" t="inlineStr">
        <is>
          <t>2024-04-25T09:24:25.257</t>
        </is>
      </c>
      <c r="AG28" s="115" t="n">
        <v>1.74</v>
      </c>
      <c r="AH28" s="449" t="n">
        <v>0.7</v>
      </c>
      <c r="AI28" s="129" t="n">
        <v>10</v>
      </c>
      <c r="AJ28" s="450" t="n">
        <v>1.05</v>
      </c>
      <c r="AK28" s="118" t="n">
        <v>0.025</v>
      </c>
      <c r="AL28" s="119" t="inlineStr">
        <is>
          <t>(1)</t>
        </is>
      </c>
      <c r="AM28" s="451" t="n">
        <v>0.24</v>
      </c>
      <c r="AN28" s="450" t="n">
        <v>0.05</v>
      </c>
      <c r="AO28" s="122" t="n">
        <v>295</v>
      </c>
      <c r="AP28" s="123" t="n">
        <v>100</v>
      </c>
      <c r="AQ28" s="124" t="n">
        <v>0</v>
      </c>
      <c r="AR28" s="124" t="n">
        <v>0</v>
      </c>
    </row>
    <row r="29" ht="20.25" customFormat="1" customHeight="1" s="54">
      <c r="B29" s="104" t="n">
        <v>21</v>
      </c>
      <c r="C29" s="105" t="n">
        <v>700016</v>
      </c>
      <c r="D29" s="106" t="n">
        <v>9125349</v>
      </c>
      <c r="E29" s="107" t="inlineStr">
        <is>
          <t>CH-291A</t>
        </is>
      </c>
      <c r="F29" s="108" t="n"/>
      <c r="G29" s="109" t="inlineStr">
        <is>
          <t>LA LIBERTAD</t>
        </is>
      </c>
      <c r="H29" s="109" t="inlineStr">
        <is>
          <t>ASCOPE</t>
        </is>
      </c>
      <c r="I29" s="109" t="inlineStr">
        <is>
          <t>SANTIAGO DE CAO</t>
        </is>
      </c>
      <c r="J29" s="109" t="inlineStr">
        <is>
          <t>IZQUIERDA</t>
        </is>
      </c>
      <c r="K29" s="109" t="n"/>
      <c r="L29" s="109" t="inlineStr">
        <is>
          <t>HUARMEY-CHICAMA</t>
        </is>
      </c>
      <c r="M29" s="109" t="inlineStr">
        <is>
          <t>CHICAMA</t>
        </is>
      </c>
      <c r="N29" s="109" t="inlineStr">
        <is>
          <t>Unidad Hidrografica 137719</t>
        </is>
      </c>
      <c r="O29" s="109" t="n"/>
      <c r="P29" s="109" t="n">
        <v>17</v>
      </c>
      <c r="Q29" s="109" t="n">
        <v>0</v>
      </c>
      <c r="R29" s="109" t="inlineStr">
        <is>
          <t>LOLOY CAIPO, JOSE JESUS</t>
        </is>
      </c>
      <c r="S29" s="110" t="inlineStr">
        <is>
          <t>TACE</t>
        </is>
      </c>
      <c r="T29" s="111" t="inlineStr">
        <is>
          <t>HUMANO-AGRICOLA</t>
        </is>
      </c>
      <c r="U29" s="112" t="n">
        <v>45407</v>
      </c>
      <c r="V29" s="111" t="n">
        <v>0.75</v>
      </c>
      <c r="W29" s="111" t="n">
        <v>3.44</v>
      </c>
      <c r="X29" s="111" t="n">
        <v>2.69</v>
      </c>
      <c r="Y29" s="104" t="n">
        <v>0</v>
      </c>
      <c r="Z29" s="453" t="n">
        <v>1244</v>
      </c>
      <c r="AA29" s="449" t="n">
        <v>7.45</v>
      </c>
      <c r="AB29" s="453" t="n">
        <v>617</v>
      </c>
      <c r="AC29" s="449" t="n">
        <v>24.9</v>
      </c>
      <c r="AD29" s="108" t="n"/>
      <c r="AE29" s="109" t="inlineStr">
        <is>
          <t>VISITADO</t>
        </is>
      </c>
      <c r="AF29" s="110" t="inlineStr">
        <is>
          <t>2024-04-25T08:20:53.948</t>
        </is>
      </c>
      <c r="AG29" s="115" t="n">
        <v>0.871</v>
      </c>
      <c r="AH29" s="449" t="n">
        <v>0.8</v>
      </c>
      <c r="AI29" s="126" t="n">
        <v>9</v>
      </c>
      <c r="AJ29" s="450" t="n">
        <v>1.18</v>
      </c>
      <c r="AK29" s="118" t="n">
        <v>0.041</v>
      </c>
      <c r="AL29" s="119" t="inlineStr">
        <is>
          <t>(1)</t>
        </is>
      </c>
      <c r="AM29" s="451" t="n">
        <v>0.23</v>
      </c>
      <c r="AN29" s="452" t="n">
        <v>0.899</v>
      </c>
      <c r="AO29" s="130" t="n">
        <v>190</v>
      </c>
      <c r="AP29" s="123" t="n">
        <v>80</v>
      </c>
      <c r="AQ29" s="124" t="n">
        <v>0</v>
      </c>
      <c r="AR29" s="124" t="n">
        <v>0</v>
      </c>
    </row>
    <row r="30" ht="20.25" customHeight="1">
      <c r="B30" s="76" t="n">
        <v>22</v>
      </c>
      <c r="C30" s="77" t="n">
        <v>701824.901</v>
      </c>
      <c r="D30" s="78" t="n">
        <v>9130933.950200001</v>
      </c>
      <c r="E30" s="79" t="inlineStr">
        <is>
          <t>CH-6</t>
        </is>
      </c>
      <c r="F30" s="80" t="inlineStr">
        <is>
          <t>IRHS-13-02-02-179</t>
        </is>
      </c>
      <c r="G30" s="81" t="inlineStr">
        <is>
          <t>LA LIBERTAD</t>
        </is>
      </c>
      <c r="H30" s="81" t="inlineStr">
        <is>
          <t>ASCOPE</t>
        </is>
      </c>
      <c r="I30" s="81" t="inlineStr">
        <is>
          <t>CHICAMA</t>
        </is>
      </c>
      <c r="J30" s="81" t="inlineStr">
        <is>
          <t>IZQUIERDA</t>
        </is>
      </c>
      <c r="K30" s="81" t="n"/>
      <c r="L30" s="81" t="inlineStr">
        <is>
          <t>HUARMEY-CHICAMA</t>
        </is>
      </c>
      <c r="M30" s="81" t="inlineStr">
        <is>
          <t>CHICAMA</t>
        </is>
      </c>
      <c r="N30" s="81" t="inlineStr">
        <is>
          <t>Cuenca Chicama</t>
        </is>
      </c>
      <c r="O30" s="81" t="n"/>
      <c r="P30" s="81" t="n">
        <v>17</v>
      </c>
      <c r="Q30" s="81" t="n">
        <v>0</v>
      </c>
      <c r="R30" s="81" t="inlineStr">
        <is>
          <t>JUAREZ MARQUEZ, TEOFANO</t>
        </is>
      </c>
      <c r="S30" s="82" t="n"/>
      <c r="T30" s="83" t="inlineStr">
        <is>
          <t>AGRICOLA</t>
        </is>
      </c>
      <c r="U30" s="84" t="n">
        <v>45426</v>
      </c>
      <c r="V30" s="83" t="n">
        <v>0</v>
      </c>
      <c r="W30" s="83" t="n">
        <v>1.5</v>
      </c>
      <c r="X30" s="83" t="n">
        <v>1.5</v>
      </c>
      <c r="Y30" s="76" t="n">
        <v>0</v>
      </c>
      <c r="Z30" s="443" t="n">
        <v>1005</v>
      </c>
      <c r="AA30" s="442" t="n">
        <v>6.98</v>
      </c>
      <c r="AB30" s="443" t="n">
        <v>513</v>
      </c>
      <c r="AC30" s="442" t="n">
        <v>23.5</v>
      </c>
      <c r="AD30" s="80" t="inlineStr">
        <is>
          <t>POZO NUEVO MUESTRA 22</t>
        </is>
      </c>
      <c r="AE30" s="81" t="inlineStr">
        <is>
          <t>VISITADO</t>
        </is>
      </c>
      <c r="AF30" s="82" t="inlineStr">
        <is>
          <t>2024-05-14T13:53:09.670</t>
        </is>
      </c>
      <c r="AG30" s="455" t="n">
        <v>0.871</v>
      </c>
      <c r="AH30" s="132" t="n">
        <v>0.8</v>
      </c>
      <c r="AI30" s="133" t="n">
        <v>5</v>
      </c>
      <c r="AJ30" s="455" t="n">
        <v>2.18</v>
      </c>
      <c r="AK30" s="91" t="n">
        <v>0.041</v>
      </c>
      <c r="AL30" s="92" t="inlineStr">
        <is>
          <t>(1)</t>
        </is>
      </c>
      <c r="AM30" s="134" t="inlineStr">
        <is>
          <t>0.230</t>
        </is>
      </c>
      <c r="AN30" s="456" t="n">
        <v>0.899</v>
      </c>
      <c r="AO30" s="132">
        <f>36*5</f>
        <v/>
      </c>
      <c r="AP30" s="136" t="inlineStr">
        <is>
          <t>*</t>
        </is>
      </c>
      <c r="AQ30" s="132" t="inlineStr">
        <is>
          <t>*</t>
        </is>
      </c>
      <c r="AR30" s="132" t="inlineStr">
        <is>
          <t>*</t>
        </is>
      </c>
    </row>
    <row r="31" ht="20.25" customHeight="1" thickBot="1">
      <c r="B31" s="76" t="n">
        <v>23</v>
      </c>
      <c r="C31" s="77" t="n">
        <v>699121</v>
      </c>
      <c r="D31" s="78" t="n">
        <v>9128350</v>
      </c>
      <c r="E31" s="137" t="inlineStr">
        <is>
          <t>CH-343</t>
        </is>
      </c>
      <c r="F31" s="80" t="n"/>
      <c r="G31" s="81" t="inlineStr">
        <is>
          <t>LA LIBERTAD</t>
        </is>
      </c>
      <c r="H31" s="81" t="inlineStr">
        <is>
          <t>ASCOPE</t>
        </is>
      </c>
      <c r="I31" s="81" t="inlineStr">
        <is>
          <t>CHICAMA</t>
        </is>
      </c>
      <c r="J31" s="81" t="inlineStr">
        <is>
          <t>IZQUIERDA</t>
        </is>
      </c>
      <c r="K31" s="81" t="n"/>
      <c r="L31" s="81" t="inlineStr">
        <is>
          <t>HUARMEY-CHICAMA</t>
        </is>
      </c>
      <c r="M31" s="81" t="inlineStr">
        <is>
          <t>CHICAMA</t>
        </is>
      </c>
      <c r="N31" s="81" t="inlineStr">
        <is>
          <t>Intercuenca Chicama 137721</t>
        </is>
      </c>
      <c r="O31" s="81" t="n"/>
      <c r="P31" s="81" t="n">
        <v>17</v>
      </c>
      <c r="Q31" s="81" t="n">
        <v>0</v>
      </c>
      <c r="R31" s="81" t="inlineStr">
        <is>
          <t>EMPRESA AGROPECUARIA, CHICLIN Y ANEXOS S.A.A.</t>
        </is>
      </c>
      <c r="S31" s="82" t="inlineStr">
        <is>
          <t>TSE</t>
        </is>
      </c>
      <c r="T31" s="83" t="inlineStr">
        <is>
          <t>AGRICOLA</t>
        </is>
      </c>
      <c r="U31" s="84" t="n">
        <v>45408</v>
      </c>
      <c r="V31" s="83" t="n">
        <v>0.1</v>
      </c>
      <c r="W31" s="83" t="n">
        <v>1.33</v>
      </c>
      <c r="X31" s="83" t="n">
        <v>1.23</v>
      </c>
      <c r="Y31" s="76" t="n">
        <v>0</v>
      </c>
      <c r="Z31" s="443" t="n">
        <v>1381</v>
      </c>
      <c r="AA31" s="442" t="n">
        <v>7.79</v>
      </c>
      <c r="AB31" s="443" t="n">
        <v>675</v>
      </c>
      <c r="AC31" s="442" t="n">
        <v>25.8</v>
      </c>
      <c r="AD31" s="80" t="n"/>
      <c r="AE31" s="81" t="inlineStr">
        <is>
          <t>VISITADO</t>
        </is>
      </c>
      <c r="AF31" s="82" t="inlineStr">
        <is>
          <t>2024-04-26T12:46:06.448</t>
        </is>
      </c>
      <c r="AG31" s="88" t="n">
        <v>5.79</v>
      </c>
      <c r="AH31" s="442" t="n">
        <v>0.6</v>
      </c>
      <c r="AI31" s="89" t="n">
        <v>8</v>
      </c>
      <c r="AJ31" s="444" t="n">
        <v>1.63</v>
      </c>
      <c r="AK31" s="91" t="n">
        <v>0.05</v>
      </c>
      <c r="AL31" s="92" t="inlineStr">
        <is>
          <t>(1)</t>
        </is>
      </c>
      <c r="AM31" s="445" t="n">
        <v>0.16</v>
      </c>
      <c r="AN31" s="446" t="n">
        <v>1.121</v>
      </c>
      <c r="AO31" s="95" t="n">
        <v>250</v>
      </c>
      <c r="AP31" s="96" t="inlineStr">
        <is>
          <t>*</t>
        </is>
      </c>
      <c r="AQ31" s="97" t="inlineStr">
        <is>
          <t>*</t>
        </is>
      </c>
      <c r="AR31" s="97" t="inlineStr">
        <is>
          <t>*</t>
        </is>
      </c>
    </row>
    <row r="32" ht="20.25" customFormat="1" customHeight="1" s="54">
      <c r="B32" s="104" t="n">
        <v>24</v>
      </c>
      <c r="C32" s="105" t="n">
        <v>696271</v>
      </c>
      <c r="D32" s="138" t="n">
        <v>9128396</v>
      </c>
      <c r="E32" s="62" t="inlineStr">
        <is>
          <t>CH-215B</t>
        </is>
      </c>
      <c r="F32" s="108" t="inlineStr">
        <is>
          <t>IRHS-13-02-07-522</t>
        </is>
      </c>
      <c r="G32" s="109" t="inlineStr">
        <is>
          <t>LA LIBERTAD</t>
        </is>
      </c>
      <c r="H32" s="109" t="inlineStr">
        <is>
          <t>ASCOPE</t>
        </is>
      </c>
      <c r="I32" s="109" t="inlineStr">
        <is>
          <t>SANTIAGO DE CAO</t>
        </is>
      </c>
      <c r="J32" s="109" t="inlineStr">
        <is>
          <t>IZQUIERDA</t>
        </is>
      </c>
      <c r="K32" s="109" t="n"/>
      <c r="L32" s="109" t="inlineStr">
        <is>
          <t>HUARMEY-CHICAMA</t>
        </is>
      </c>
      <c r="M32" s="109" t="inlineStr">
        <is>
          <t>CHICAMA</t>
        </is>
      </c>
      <c r="N32" s="109" t="inlineStr">
        <is>
          <t>Intercuenca Chicama 137721</t>
        </is>
      </c>
      <c r="O32" s="109" t="n">
        <v>41913</v>
      </c>
      <c r="P32" s="109" t="n">
        <v>17</v>
      </c>
      <c r="Q32" s="109" t="n">
        <v>0</v>
      </c>
      <c r="R32" s="109" t="inlineStr">
        <is>
          <t>SANTOS VICTORIA RIVEROS REYES</t>
        </is>
      </c>
      <c r="S32" s="110" t="inlineStr">
        <is>
          <t>TACE</t>
        </is>
      </c>
      <c r="T32" s="111" t="inlineStr">
        <is>
          <t>CONSUMO HUMANO</t>
        </is>
      </c>
      <c r="U32" s="112" t="n">
        <v>45408</v>
      </c>
      <c r="V32" s="111" t="n">
        <v>0.35</v>
      </c>
      <c r="W32" s="111" t="n">
        <v>3.56</v>
      </c>
      <c r="X32" s="111" t="n">
        <v>3.21</v>
      </c>
      <c r="Y32" s="104" t="n">
        <v>0</v>
      </c>
      <c r="Z32" s="448" t="n">
        <v>1623</v>
      </c>
      <c r="AA32" s="449" t="n">
        <v>7.29</v>
      </c>
      <c r="AB32" s="453" t="n">
        <v>812</v>
      </c>
      <c r="AC32" s="449" t="n">
        <v>25.1</v>
      </c>
      <c r="AD32" s="108" t="n"/>
      <c r="AE32" s="109" t="inlineStr">
        <is>
          <t>VISITADO</t>
        </is>
      </c>
      <c r="AF32" s="110" t="inlineStr">
        <is>
          <t>2024-04-26T12:17:05.270</t>
        </is>
      </c>
      <c r="AG32" s="115" t="n">
        <v>1.97</v>
      </c>
      <c r="AH32" s="449" t="n">
        <v>0.9</v>
      </c>
      <c r="AI32" s="116" t="n">
        <v>12</v>
      </c>
      <c r="AJ32" s="450" t="n">
        <v>1.06</v>
      </c>
      <c r="AK32" s="118" t="n">
        <v>0.027</v>
      </c>
      <c r="AL32" s="119" t="inlineStr">
        <is>
          <t>(1)</t>
        </is>
      </c>
      <c r="AM32" s="451" t="n">
        <v>0.33</v>
      </c>
      <c r="AN32" s="450" t="n">
        <v>0.07199999999999999</v>
      </c>
      <c r="AO32" s="122" t="n">
        <v>255</v>
      </c>
      <c r="AP32" s="123" t="n">
        <v>120</v>
      </c>
      <c r="AQ32" s="124" t="n">
        <v>0</v>
      </c>
      <c r="AR32" s="124" t="n">
        <v>0</v>
      </c>
    </row>
    <row r="33" ht="20.25" customHeight="1">
      <c r="B33" s="76" t="n">
        <v>25</v>
      </c>
      <c r="C33" s="77" t="n">
        <v>700047</v>
      </c>
      <c r="D33" s="139" t="n">
        <v>9132591</v>
      </c>
      <c r="E33" s="83" t="inlineStr">
        <is>
          <t>CH-235</t>
        </is>
      </c>
      <c r="F33" s="80" t="n"/>
      <c r="G33" s="81" t="inlineStr">
        <is>
          <t>LA LIBERTAD</t>
        </is>
      </c>
      <c r="H33" s="81" t="inlineStr">
        <is>
          <t>ASCOPE</t>
        </is>
      </c>
      <c r="I33" s="81" t="inlineStr">
        <is>
          <t>CHICAMA</t>
        </is>
      </c>
      <c r="J33" s="81" t="inlineStr">
        <is>
          <t>IZQUIERDA</t>
        </is>
      </c>
      <c r="K33" s="81" t="n"/>
      <c r="L33" s="81" t="inlineStr">
        <is>
          <t>HUARMEY-CHICAMA</t>
        </is>
      </c>
      <c r="M33" s="81" t="inlineStr">
        <is>
          <t>CHICAMA</t>
        </is>
      </c>
      <c r="N33" s="81" t="inlineStr">
        <is>
          <t>Intercuenca Chicama 137721</t>
        </is>
      </c>
      <c r="O33" s="81" t="n"/>
      <c r="P33" s="81" t="n">
        <v>17</v>
      </c>
      <c r="Q33" s="81" t="n">
        <v>0</v>
      </c>
      <c r="R33" s="81" t="inlineStr">
        <is>
          <t>COMPLEJO AGROINDUSTRIAL, CARTAVIO S.A.</t>
        </is>
      </c>
      <c r="S33" s="82" t="inlineStr">
        <is>
          <t>TSE</t>
        </is>
      </c>
      <c r="T33" s="83" t="inlineStr">
        <is>
          <t>AGRÍCOLA</t>
        </is>
      </c>
      <c r="U33" s="84" t="n">
        <v>45408</v>
      </c>
      <c r="V33" s="83" t="n">
        <v>0</v>
      </c>
      <c r="W33" s="83" t="n">
        <v>6.41</v>
      </c>
      <c r="X33" s="83" t="n">
        <v>6.41</v>
      </c>
      <c r="Y33" s="76" t="n">
        <v>0</v>
      </c>
      <c r="Z33" s="443" t="n">
        <v>783</v>
      </c>
      <c r="AA33" s="442" t="n">
        <v>7.42</v>
      </c>
      <c r="AB33" s="443" t="n">
        <v>386</v>
      </c>
      <c r="AC33" s="442" t="n">
        <v>24.7</v>
      </c>
      <c r="AD33" s="80" t="inlineStr">
        <is>
          <t>NUEVO</t>
        </is>
      </c>
      <c r="AE33" s="81" t="inlineStr">
        <is>
          <t>VISITADO</t>
        </is>
      </c>
      <c r="AF33" s="82" t="inlineStr">
        <is>
          <t>2024-04-26T12:17:33.686</t>
        </is>
      </c>
      <c r="AG33" s="88" t="n">
        <v>15.3</v>
      </c>
      <c r="AH33" s="442" t="n">
        <v>0.8</v>
      </c>
      <c r="AI33" s="89" t="n">
        <v>8</v>
      </c>
      <c r="AJ33" s="444" t="n">
        <v>0.53</v>
      </c>
      <c r="AK33" s="91" t="n">
        <v>0.028</v>
      </c>
      <c r="AL33" s="92" t="inlineStr">
        <is>
          <t>(1)</t>
        </is>
      </c>
      <c r="AM33" s="445" t="n">
        <v>0.29</v>
      </c>
      <c r="AN33" s="91" t="n">
        <v>0.032</v>
      </c>
      <c r="AO33" s="140" t="n">
        <v>125</v>
      </c>
      <c r="AP33" s="96" t="inlineStr">
        <is>
          <t>*</t>
        </is>
      </c>
      <c r="AQ33" s="97" t="inlineStr">
        <is>
          <t>*</t>
        </is>
      </c>
      <c r="AR33" s="97" t="inlineStr">
        <is>
          <t>*</t>
        </is>
      </c>
    </row>
    <row r="34" ht="20.25" customFormat="1" customHeight="1" s="54">
      <c r="B34" s="104" t="n">
        <v>26</v>
      </c>
      <c r="C34" s="105" t="n">
        <v>694311</v>
      </c>
      <c r="D34" s="138" t="n">
        <v>9127393</v>
      </c>
      <c r="E34" s="111" t="inlineStr">
        <is>
          <t>CH-3A</t>
        </is>
      </c>
      <c r="F34" s="108" t="inlineStr">
        <is>
          <t>IRHS-13-02-07-228</t>
        </is>
      </c>
      <c r="G34" s="109" t="inlineStr">
        <is>
          <t>LA LIBERTAD</t>
        </is>
      </c>
      <c r="H34" s="109" t="inlineStr">
        <is>
          <t>ASCOPE</t>
        </is>
      </c>
      <c r="I34" s="109" t="inlineStr">
        <is>
          <t>SANTIAGO DE CAO</t>
        </is>
      </c>
      <c r="J34" s="109" t="inlineStr">
        <is>
          <t>IZQUIERDA</t>
        </is>
      </c>
      <c r="K34" s="109" t="n"/>
      <c r="L34" s="109" t="inlineStr">
        <is>
          <t>HUARMEY-CHICAMA</t>
        </is>
      </c>
      <c r="M34" s="109" t="inlineStr">
        <is>
          <t>CHICAMA</t>
        </is>
      </c>
      <c r="N34" s="109" t="inlineStr">
        <is>
          <t>Intercuenca Chicama 137721</t>
        </is>
      </c>
      <c r="O34" s="109" t="n">
        <v>41856</v>
      </c>
      <c r="P34" s="109" t="n">
        <v>17</v>
      </c>
      <c r="Q34" s="109" t="n">
        <v>0</v>
      </c>
      <c r="R34" s="109" t="inlineStr">
        <is>
          <t>JULIA ARROYO VEGA</t>
        </is>
      </c>
      <c r="S34" s="110" t="inlineStr">
        <is>
          <t>TASE</t>
        </is>
      </c>
      <c r="T34" s="111" t="inlineStr">
        <is>
          <t>CONSUMO HUMANO</t>
        </is>
      </c>
      <c r="U34" s="112" t="n">
        <v>45408</v>
      </c>
      <c r="V34" s="111" t="n">
        <v>0.2</v>
      </c>
      <c r="W34" s="111" t="n">
        <v>1.36</v>
      </c>
      <c r="X34" s="111" t="n">
        <v>1.16</v>
      </c>
      <c r="Y34" s="104" t="n">
        <v>0</v>
      </c>
      <c r="Z34" s="453" t="n">
        <v>1374</v>
      </c>
      <c r="AA34" s="449" t="n">
        <v>7.71</v>
      </c>
      <c r="AB34" s="453" t="n">
        <v>684</v>
      </c>
      <c r="AC34" s="449" t="n">
        <v>25</v>
      </c>
      <c r="AD34" s="108" t="n"/>
      <c r="AE34" s="109" t="inlineStr">
        <is>
          <t>VISITADO</t>
        </is>
      </c>
      <c r="AF34" s="110" t="inlineStr">
        <is>
          <t>2024-04-26T11:12:46.180</t>
        </is>
      </c>
      <c r="AG34" s="115" t="n">
        <v>3.31</v>
      </c>
      <c r="AH34" s="449" t="n">
        <v>0.9</v>
      </c>
      <c r="AI34" s="116" t="n">
        <v>15</v>
      </c>
      <c r="AJ34" s="450" t="n">
        <v>2.13</v>
      </c>
      <c r="AK34" s="118" t="n">
        <v>0.018</v>
      </c>
      <c r="AL34" s="119" t="inlineStr">
        <is>
          <t>(1)</t>
        </is>
      </c>
      <c r="AM34" s="451" t="n">
        <v>0.27</v>
      </c>
      <c r="AN34" s="118" t="n">
        <v>0.036</v>
      </c>
      <c r="AO34" s="141" t="n">
        <v>225</v>
      </c>
      <c r="AP34" s="123" t="n">
        <v>150</v>
      </c>
      <c r="AQ34" s="124" t="n">
        <v>0</v>
      </c>
      <c r="AR34" s="124" t="n">
        <v>0</v>
      </c>
    </row>
    <row r="35" ht="20.25" customHeight="1">
      <c r="B35" s="76" t="n">
        <v>27</v>
      </c>
      <c r="C35" s="77" t="n">
        <v>693898</v>
      </c>
      <c r="D35" s="139" t="n">
        <v>9125291</v>
      </c>
      <c r="E35" s="83" t="inlineStr">
        <is>
          <t>CH-21B-2</t>
        </is>
      </c>
      <c r="F35" s="80" t="inlineStr">
        <is>
          <t>IRHS-13-02-07-471</t>
        </is>
      </c>
      <c r="G35" s="81" t="inlineStr">
        <is>
          <t>LA LIBERTAD</t>
        </is>
      </c>
      <c r="H35" s="81" t="inlineStr">
        <is>
          <t>ASCOPE</t>
        </is>
      </c>
      <c r="I35" s="81" t="inlineStr">
        <is>
          <t>SANTIAGO DE CAO</t>
        </is>
      </c>
      <c r="J35" s="81" t="inlineStr">
        <is>
          <t>IZQUIERDA</t>
        </is>
      </c>
      <c r="K35" s="81" t="n"/>
      <c r="L35" s="81" t="inlineStr">
        <is>
          <t>HUARMEY-CHICAMA</t>
        </is>
      </c>
      <c r="M35" s="81" t="inlineStr">
        <is>
          <t>CHICAMA</t>
        </is>
      </c>
      <c r="N35" s="81" t="inlineStr">
        <is>
          <t>Intercuenca Chicama 137721</t>
        </is>
      </c>
      <c r="O35" s="81" t="n"/>
      <c r="P35" s="81" t="n">
        <v>17</v>
      </c>
      <c r="Q35" s="81" t="n">
        <v>0</v>
      </c>
      <c r="R35" s="81" t="inlineStr">
        <is>
          <t>CORPORACION DEL SUR S.A., SUCURSAL PERU</t>
        </is>
      </c>
      <c r="S35" s="82" t="inlineStr">
        <is>
          <t>TACE</t>
        </is>
      </c>
      <c r="T35" s="83" t="inlineStr">
        <is>
          <t>AGRÍCOLA</t>
        </is>
      </c>
      <c r="U35" s="84" t="n">
        <v>45407</v>
      </c>
      <c r="V35" s="83" t="n">
        <v>-1.8</v>
      </c>
      <c r="W35" s="83" t="n">
        <v>0.26</v>
      </c>
      <c r="X35" s="83" t="n">
        <v>2.06</v>
      </c>
      <c r="Y35" s="76" t="n">
        <v>0</v>
      </c>
      <c r="Z35" s="441" t="n">
        <v>1624</v>
      </c>
      <c r="AA35" s="442" t="n">
        <v>7.08</v>
      </c>
      <c r="AB35" s="443" t="n">
        <v>834</v>
      </c>
      <c r="AC35" s="442" t="n">
        <v>23.8</v>
      </c>
      <c r="AD35" s="80" t="n"/>
      <c r="AE35" s="81" t="inlineStr">
        <is>
          <t>VISITADO</t>
        </is>
      </c>
      <c r="AF35" s="82" t="inlineStr">
        <is>
          <t>2024-04-25T14:24:17.799</t>
        </is>
      </c>
      <c r="AG35" s="100" t="n">
        <v>1.44</v>
      </c>
      <c r="AH35" s="442" t="n">
        <v>0.8</v>
      </c>
      <c r="AI35" s="89" t="n">
        <v>9</v>
      </c>
      <c r="AJ35" s="444" t="n">
        <v>2.02</v>
      </c>
      <c r="AK35" s="91" t="n">
        <v>0.013</v>
      </c>
      <c r="AL35" s="92" t="inlineStr">
        <is>
          <t>(1)</t>
        </is>
      </c>
      <c r="AM35" s="445" t="n">
        <v>0.24</v>
      </c>
      <c r="AN35" s="444" t="n">
        <v>0.068</v>
      </c>
      <c r="AO35" s="99" t="n">
        <v>315</v>
      </c>
      <c r="AP35" s="96" t="inlineStr">
        <is>
          <t>*</t>
        </is>
      </c>
      <c r="AQ35" s="97" t="inlineStr">
        <is>
          <t>*</t>
        </is>
      </c>
      <c r="AR35" s="97" t="inlineStr">
        <is>
          <t>*</t>
        </is>
      </c>
    </row>
    <row r="36" ht="20.25" customHeight="1">
      <c r="B36" s="76" t="n">
        <v>28</v>
      </c>
      <c r="C36" s="77" t="n">
        <v>691796</v>
      </c>
      <c r="D36" s="139" t="n">
        <v>9126919</v>
      </c>
      <c r="E36" s="83" t="inlineStr">
        <is>
          <t>CH-43A-2</t>
        </is>
      </c>
      <c r="F36" s="80" t="inlineStr">
        <is>
          <t>IRHS-13-02-07-518</t>
        </is>
      </c>
      <c r="G36" s="81" t="inlineStr">
        <is>
          <t>LA LIBERTAD</t>
        </is>
      </c>
      <c r="H36" s="81" t="inlineStr">
        <is>
          <t>ASCOPE</t>
        </is>
      </c>
      <c r="I36" s="81" t="inlineStr">
        <is>
          <t>SANTIAGO DE CAO</t>
        </is>
      </c>
      <c r="J36" s="81" t="inlineStr">
        <is>
          <t>IZQUIERDA</t>
        </is>
      </c>
      <c r="K36" s="81" t="n"/>
      <c r="L36" s="81" t="inlineStr">
        <is>
          <t>HUARMEY-CHICAMA</t>
        </is>
      </c>
      <c r="M36" s="81" t="inlineStr">
        <is>
          <t>CHICAMA</t>
        </is>
      </c>
      <c r="N36" s="81" t="inlineStr">
        <is>
          <t>Intercuenca Chicama 137721</t>
        </is>
      </c>
      <c r="O36" s="81" t="n"/>
      <c r="P36" s="81" t="n">
        <v>17</v>
      </c>
      <c r="Q36" s="81" t="n">
        <v>0</v>
      </c>
      <c r="R36" s="81" t="inlineStr">
        <is>
          <t>SUCESION DE CUEVA CABRERA, JOSE PANFILO</t>
        </is>
      </c>
      <c r="S36" s="82" t="inlineStr">
        <is>
          <t>TASE</t>
        </is>
      </c>
      <c r="T36" s="83" t="inlineStr">
        <is>
          <t>AGRÍCOLA</t>
        </is>
      </c>
      <c r="U36" s="84" t="n">
        <v>45408</v>
      </c>
      <c r="V36" s="83" t="n">
        <v>-0.7</v>
      </c>
      <c r="W36" s="83" t="n">
        <v>1.37</v>
      </c>
      <c r="X36" s="83" t="n">
        <v>2.07</v>
      </c>
      <c r="Y36" s="76" t="n">
        <v>0</v>
      </c>
      <c r="Z36" s="443" t="n">
        <v>1414</v>
      </c>
      <c r="AA36" s="442" t="n">
        <v>7.32</v>
      </c>
      <c r="AB36" s="443" t="n">
        <v>701</v>
      </c>
      <c r="AC36" s="442" t="n">
        <v>25.2</v>
      </c>
      <c r="AD36" s="80" t="inlineStr">
        <is>
          <t>NUEVO</t>
        </is>
      </c>
      <c r="AE36" s="81" t="inlineStr">
        <is>
          <t>VISITADO</t>
        </is>
      </c>
      <c r="AF36" s="82" t="inlineStr">
        <is>
          <t>2024-04-26T13:44:28.673</t>
        </is>
      </c>
      <c r="AG36" s="88" t="n">
        <v>6.12</v>
      </c>
      <c r="AH36" s="442" t="n">
        <v>1</v>
      </c>
      <c r="AI36" s="89" t="n">
        <v>7</v>
      </c>
      <c r="AJ36" s="444" t="n">
        <v>1.9</v>
      </c>
      <c r="AK36" s="91" t="n">
        <v>0.022</v>
      </c>
      <c r="AL36" s="92" t="inlineStr">
        <is>
          <t>(1)</t>
        </is>
      </c>
      <c r="AM36" s="445" t="n">
        <v>0.17</v>
      </c>
      <c r="AN36" s="91" t="n">
        <v>0.046</v>
      </c>
      <c r="AO36" s="140" t="n">
        <v>200</v>
      </c>
      <c r="AP36" s="96" t="inlineStr">
        <is>
          <t>*</t>
        </is>
      </c>
      <c r="AQ36" s="97" t="inlineStr">
        <is>
          <t>*</t>
        </is>
      </c>
      <c r="AR36" s="97" t="inlineStr">
        <is>
          <t>*</t>
        </is>
      </c>
    </row>
    <row r="37" ht="20.25" customHeight="1">
      <c r="B37" s="76" t="n">
        <v>29</v>
      </c>
      <c r="C37" s="77" t="n">
        <v>690819</v>
      </c>
      <c r="D37" s="139" t="n">
        <v>9127499</v>
      </c>
      <c r="E37" s="83" t="inlineStr">
        <is>
          <t>CH-3B</t>
        </is>
      </c>
      <c r="F37" s="80" t="n"/>
      <c r="G37" s="81" t="inlineStr">
        <is>
          <t>LA LIBERTAD</t>
        </is>
      </c>
      <c r="H37" s="81" t="inlineStr">
        <is>
          <t>ASCOPE</t>
        </is>
      </c>
      <c r="I37" s="81" t="inlineStr">
        <is>
          <t>MAGDALENA DE CAO</t>
        </is>
      </c>
      <c r="J37" s="81" t="inlineStr">
        <is>
          <t>DERECHA</t>
        </is>
      </c>
      <c r="K37" s="81" t="n"/>
      <c r="L37" s="81" t="inlineStr">
        <is>
          <t>HUARMEY-CHICAMA</t>
        </is>
      </c>
      <c r="M37" s="81" t="inlineStr">
        <is>
          <t>CHICAMA</t>
        </is>
      </c>
      <c r="N37" s="81" t="inlineStr">
        <is>
          <t>Intercuenca Chicama 137721</t>
        </is>
      </c>
      <c r="O37" s="81" t="n"/>
      <c r="P37" s="81" t="n">
        <v>17</v>
      </c>
      <c r="Q37" s="81" t="n">
        <v>0</v>
      </c>
      <c r="R37" s="81" t="inlineStr">
        <is>
          <t>CHAMACHE BARRIGA, ENRIQUE WALTER</t>
        </is>
      </c>
      <c r="S37" s="82" t="inlineStr">
        <is>
          <t>TACE</t>
        </is>
      </c>
      <c r="T37" s="83" t="inlineStr">
        <is>
          <t>AGRICOLA</t>
        </is>
      </c>
      <c r="U37" s="84" t="n">
        <v>45412</v>
      </c>
      <c r="V37" s="83" t="n">
        <v>0.58</v>
      </c>
      <c r="W37" s="83" t="n">
        <v>4.33</v>
      </c>
      <c r="X37" s="83" t="n">
        <v>3.75</v>
      </c>
      <c r="Y37" s="76" t="n">
        <v>0</v>
      </c>
      <c r="Z37" s="443" t="n">
        <v>924</v>
      </c>
      <c r="AA37" s="442" t="n">
        <v>7.35</v>
      </c>
      <c r="AB37" s="443" t="n">
        <v>458</v>
      </c>
      <c r="AC37" s="442" t="n">
        <v>24.7</v>
      </c>
      <c r="AD37" s="80" t="inlineStr">
        <is>
          <t>Cambio de PR</t>
        </is>
      </c>
      <c r="AE37" s="81" t="inlineStr">
        <is>
          <t>VISITADO</t>
        </is>
      </c>
      <c r="AF37" s="82" t="inlineStr">
        <is>
          <t>2024-04-30T08:27:52.382</t>
        </is>
      </c>
      <c r="AG37" s="100" t="n">
        <v>2.39</v>
      </c>
      <c r="AH37" s="442" t="n">
        <v>0.7</v>
      </c>
      <c r="AI37" s="98" t="n">
        <v>15</v>
      </c>
      <c r="AJ37" s="444" t="n">
        <v>1.34</v>
      </c>
      <c r="AK37" s="91" t="n">
        <v>0.012</v>
      </c>
      <c r="AL37" s="92" t="inlineStr">
        <is>
          <t>(1)</t>
        </is>
      </c>
      <c r="AM37" s="445" t="n">
        <v>0.17</v>
      </c>
      <c r="AN37" s="91" t="n">
        <v>0.038</v>
      </c>
      <c r="AO37" s="140" t="n">
        <v>165</v>
      </c>
      <c r="AP37" s="96" t="inlineStr">
        <is>
          <t>*</t>
        </is>
      </c>
      <c r="AQ37" s="97" t="inlineStr">
        <is>
          <t>*</t>
        </is>
      </c>
      <c r="AR37" s="97" t="inlineStr">
        <is>
          <t>*</t>
        </is>
      </c>
    </row>
    <row r="38" ht="20.25" customHeight="1">
      <c r="B38" s="76" t="n">
        <v>30</v>
      </c>
      <c r="C38" s="77" t="n">
        <v>693042</v>
      </c>
      <c r="D38" s="139" t="n">
        <v>9130345</v>
      </c>
      <c r="E38" s="83" t="inlineStr">
        <is>
          <t>CH-71A</t>
        </is>
      </c>
      <c r="F38" s="80" t="inlineStr">
        <is>
          <t>IRHS-13-02-04-100</t>
        </is>
      </c>
      <c r="G38" s="81" t="inlineStr">
        <is>
          <t>LA LIBERTAD</t>
        </is>
      </c>
      <c r="H38" s="81" t="inlineStr">
        <is>
          <t>ASCOPE</t>
        </is>
      </c>
      <c r="I38" s="81" t="inlineStr">
        <is>
          <t>MAGDALENA DE CAO</t>
        </is>
      </c>
      <c r="J38" s="81" t="inlineStr">
        <is>
          <t>DERECHA</t>
        </is>
      </c>
      <c r="K38" s="81" t="n"/>
      <c r="L38" s="81" t="inlineStr">
        <is>
          <t>HUARMEY-CHICAMA</t>
        </is>
      </c>
      <c r="M38" s="81" t="inlineStr">
        <is>
          <t>CHICAMA</t>
        </is>
      </c>
      <c r="N38" s="81" t="inlineStr">
        <is>
          <t>Unidad Hidrografica 13773</t>
        </is>
      </c>
      <c r="O38" s="81" t="n">
        <v>41884</v>
      </c>
      <c r="P38" s="81" t="n">
        <v>17</v>
      </c>
      <c r="Q38" s="81" t="n">
        <v>0</v>
      </c>
      <c r="R38" s="81" t="inlineStr">
        <is>
          <t>HEREDEROS MURGA BAZAN</t>
        </is>
      </c>
      <c r="S38" s="82" t="inlineStr">
        <is>
          <t>TASE</t>
        </is>
      </c>
      <c r="T38" s="83" t="inlineStr">
        <is>
          <t>AGRICOLA</t>
        </is>
      </c>
      <c r="U38" s="84" t="n">
        <v>45412</v>
      </c>
      <c r="V38" s="83" t="n">
        <v>0.3</v>
      </c>
      <c r="W38" s="83" t="n">
        <v>2.64</v>
      </c>
      <c r="X38" s="83" t="n">
        <v>2.34</v>
      </c>
      <c r="Y38" s="76" t="n">
        <v>0</v>
      </c>
      <c r="Z38" s="443" t="n">
        <v>903</v>
      </c>
      <c r="AA38" s="442" t="n">
        <v>7.61</v>
      </c>
      <c r="AB38" s="443" t="n">
        <v>460</v>
      </c>
      <c r="AC38" s="442" t="n">
        <v>23.3</v>
      </c>
      <c r="AD38" s="80" t="n"/>
      <c r="AE38" s="81" t="inlineStr">
        <is>
          <t>VISITADO</t>
        </is>
      </c>
      <c r="AF38" s="82" t="inlineStr">
        <is>
          <t>2024-04-30T11:25:01.791</t>
        </is>
      </c>
      <c r="AG38" s="88" t="n">
        <v>10.03</v>
      </c>
      <c r="AH38" s="442" t="n">
        <v>0.7</v>
      </c>
      <c r="AI38" s="98" t="n">
        <v>13</v>
      </c>
      <c r="AJ38" s="444" t="n">
        <v>0.66</v>
      </c>
      <c r="AK38" s="91" t="n">
        <v>0.022</v>
      </c>
      <c r="AL38" s="92" t="inlineStr">
        <is>
          <t>(1)</t>
        </is>
      </c>
      <c r="AM38" s="445" t="n">
        <v>0.13</v>
      </c>
      <c r="AN38" s="444" t="n">
        <v>0.054</v>
      </c>
      <c r="AO38" s="140" t="n">
        <v>165</v>
      </c>
      <c r="AP38" s="96" t="inlineStr">
        <is>
          <t>*</t>
        </is>
      </c>
      <c r="AQ38" s="97" t="inlineStr">
        <is>
          <t>*</t>
        </is>
      </c>
      <c r="AR38" s="97" t="inlineStr">
        <is>
          <t>*</t>
        </is>
      </c>
    </row>
    <row r="39" ht="20.25" customHeight="1">
      <c r="B39" s="76" t="n">
        <v>31</v>
      </c>
      <c r="C39" s="77" t="n">
        <v>690081</v>
      </c>
      <c r="D39" s="139" t="n">
        <v>9126756</v>
      </c>
      <c r="E39" s="83" t="inlineStr">
        <is>
          <t>CH-155A-2</t>
        </is>
      </c>
      <c r="F39" s="80" t="inlineStr">
        <is>
          <t>IRHS-13-02-04-2</t>
        </is>
      </c>
      <c r="G39" s="81" t="inlineStr">
        <is>
          <t>LA LIBERTAD</t>
        </is>
      </c>
      <c r="H39" s="81" t="inlineStr">
        <is>
          <t>ASCOPE</t>
        </is>
      </c>
      <c r="I39" s="81" t="inlineStr">
        <is>
          <t>MAGDALENA DE CAO</t>
        </is>
      </c>
      <c r="J39" s="81" t="inlineStr">
        <is>
          <t>DERECHA</t>
        </is>
      </c>
      <c r="K39" s="81" t="n"/>
      <c r="L39" s="81" t="inlineStr">
        <is>
          <t>HUARMEY-CHICAMA</t>
        </is>
      </c>
      <c r="M39" s="81" t="inlineStr">
        <is>
          <t>CHICAMA</t>
        </is>
      </c>
      <c r="N39" s="81" t="inlineStr">
        <is>
          <t>Intercuenca Chicama 137721</t>
        </is>
      </c>
      <c r="O39" s="81" t="n">
        <v>41932</v>
      </c>
      <c r="P39" s="81" t="n">
        <v>17</v>
      </c>
      <c r="Q39" s="81" t="n">
        <v>0</v>
      </c>
      <c r="R39" s="81" t="inlineStr">
        <is>
          <t>COMPLEJO AGROINDUSTRIAL, CARTAVIO S.A.</t>
        </is>
      </c>
      <c r="S39" s="82" t="inlineStr">
        <is>
          <t>TSE</t>
        </is>
      </c>
      <c r="T39" s="83" t="inlineStr">
        <is>
          <t>AGRÍCOLA</t>
        </is>
      </c>
      <c r="U39" s="84" t="n">
        <v>45412</v>
      </c>
      <c r="V39" s="83" t="n">
        <v>0.25</v>
      </c>
      <c r="W39" s="83" t="n">
        <v>3.7</v>
      </c>
      <c r="X39" s="83" t="n">
        <v>3.45</v>
      </c>
      <c r="Y39" s="76" t="n">
        <v>0</v>
      </c>
      <c r="Z39" s="443" t="n">
        <v>641</v>
      </c>
      <c r="AA39" s="442" t="n">
        <v>7.85</v>
      </c>
      <c r="AB39" s="443" t="n">
        <v>318</v>
      </c>
      <c r="AC39" s="442" t="n">
        <v>24.2</v>
      </c>
      <c r="AD39" s="80" t="n"/>
      <c r="AE39" s="81" t="inlineStr">
        <is>
          <t>VISITADO</t>
        </is>
      </c>
      <c r="AF39" s="82" t="inlineStr">
        <is>
          <t>2024-04-30T09:34:28.600</t>
        </is>
      </c>
      <c r="AG39" s="88" t="n">
        <v>12.4</v>
      </c>
      <c r="AH39" s="442" t="n">
        <v>0.5</v>
      </c>
      <c r="AI39" s="98" t="n">
        <v>19</v>
      </c>
      <c r="AJ39" s="444" t="n">
        <v>1.37</v>
      </c>
      <c r="AK39" s="91" t="n">
        <v>0.049</v>
      </c>
      <c r="AL39" s="92" t="inlineStr">
        <is>
          <t>(1)</t>
        </is>
      </c>
      <c r="AM39" s="445" t="n">
        <v>0.32</v>
      </c>
      <c r="AN39" s="91" t="n">
        <v>0.1</v>
      </c>
      <c r="AO39" s="140" t="n">
        <v>105</v>
      </c>
      <c r="AP39" s="96" t="inlineStr">
        <is>
          <t>*</t>
        </is>
      </c>
      <c r="AQ39" s="97" t="inlineStr">
        <is>
          <t>*</t>
        </is>
      </c>
      <c r="AR39" s="97" t="inlineStr">
        <is>
          <t>*</t>
        </is>
      </c>
    </row>
    <row r="40" ht="20.25" customFormat="1" customHeight="1" s="54">
      <c r="B40" s="104" t="n">
        <v>32</v>
      </c>
      <c r="C40" s="105" t="n">
        <v>689067.8591</v>
      </c>
      <c r="D40" s="138" t="n">
        <v>9123918.0867</v>
      </c>
      <c r="E40" s="111" t="inlineStr">
        <is>
          <t>CH-36A</t>
        </is>
      </c>
      <c r="F40" s="108" t="inlineStr">
        <is>
          <t>IRHS-13-02-04-60</t>
        </is>
      </c>
      <c r="G40" s="109" t="inlineStr">
        <is>
          <t>LA LIBERTAD</t>
        </is>
      </c>
      <c r="H40" s="109" t="inlineStr">
        <is>
          <t>ASCOPE</t>
        </is>
      </c>
      <c r="I40" s="109" t="inlineStr">
        <is>
          <t>MAGDALENA DE CAO</t>
        </is>
      </c>
      <c r="J40" s="109" t="inlineStr">
        <is>
          <t>DERECHA</t>
        </is>
      </c>
      <c r="K40" s="109" t="n"/>
      <c r="L40" s="109" t="inlineStr">
        <is>
          <t>HUARMEY-CHICAMA</t>
        </is>
      </c>
      <c r="M40" s="109" t="inlineStr">
        <is>
          <t>CHICAMA</t>
        </is>
      </c>
      <c r="N40" s="109" t="inlineStr">
        <is>
          <t>Intercuenca 13773</t>
        </is>
      </c>
      <c r="O40" s="109" t="n"/>
      <c r="P40" s="109" t="n">
        <v>17</v>
      </c>
      <c r="Q40" s="109" t="n">
        <v>0</v>
      </c>
      <c r="R40" s="109" t="inlineStr">
        <is>
          <t>CARTAVIO S.A.A.</t>
        </is>
      </c>
      <c r="S40" s="110" t="n"/>
      <c r="T40" s="111" t="inlineStr">
        <is>
          <t>CONSUMO HUMANO</t>
        </is>
      </c>
      <c r="U40" s="112" t="n">
        <v>45412</v>
      </c>
      <c r="V40" s="111" t="n">
        <v>0</v>
      </c>
      <c r="W40" s="111" t="n">
        <v>1.71</v>
      </c>
      <c r="X40" s="111" t="n">
        <v>1.71</v>
      </c>
      <c r="Y40" s="104" t="n">
        <v>0</v>
      </c>
      <c r="Z40" s="448" t="n">
        <v>1799</v>
      </c>
      <c r="AA40" s="449" t="n">
        <v>7.41</v>
      </c>
      <c r="AB40" s="453" t="n">
        <v>945</v>
      </c>
      <c r="AC40" s="449" t="n">
        <v>22.9</v>
      </c>
      <c r="AD40" s="108" t="inlineStr">
        <is>
          <t>POZO NUEVO MUESTRA 32</t>
        </is>
      </c>
      <c r="AE40" s="109" t="inlineStr">
        <is>
          <t>VISITADO</t>
        </is>
      </c>
      <c r="AF40" s="110" t="inlineStr">
        <is>
          <t>2024-04-30T09:48:52.117</t>
        </is>
      </c>
      <c r="AG40" s="115" t="n">
        <v>2.92</v>
      </c>
      <c r="AH40" s="449" t="n">
        <v>0.5</v>
      </c>
      <c r="AI40" s="116" t="n">
        <v>17</v>
      </c>
      <c r="AJ40" s="450" t="n">
        <v>1.35</v>
      </c>
      <c r="AK40" s="118" t="n">
        <v>0.025</v>
      </c>
      <c r="AL40" s="119" t="inlineStr">
        <is>
          <t>(1)</t>
        </is>
      </c>
      <c r="AM40" s="451" t="n">
        <v>0.25</v>
      </c>
      <c r="AN40" s="450" t="n">
        <v>0.131</v>
      </c>
      <c r="AO40" s="122" t="n">
        <v>320</v>
      </c>
      <c r="AP40" s="123" t="n">
        <v>250</v>
      </c>
      <c r="AQ40" s="124" t="n">
        <v>0</v>
      </c>
      <c r="AR40" s="124" t="n">
        <v>0</v>
      </c>
    </row>
    <row r="41" ht="20.25" customHeight="1">
      <c r="B41" s="76" t="n">
        <v>33</v>
      </c>
      <c r="C41" s="77" t="n">
        <v>682742</v>
      </c>
      <c r="D41" s="139" t="n">
        <v>9150731</v>
      </c>
      <c r="E41" s="83" t="inlineStr">
        <is>
          <t>CH-258A</t>
        </is>
      </c>
      <c r="F41" s="80" t="inlineStr">
        <is>
          <t>IRHS-13-02-06-549</t>
        </is>
      </c>
      <c r="G41" s="81" t="inlineStr">
        <is>
          <t>LA LIBERTAD</t>
        </is>
      </c>
      <c r="H41" s="81" t="inlineStr">
        <is>
          <t>ASCOPE</t>
        </is>
      </c>
      <c r="I41" s="81" t="inlineStr">
        <is>
          <t>RAZURI</t>
        </is>
      </c>
      <c r="J41" s="81" t="inlineStr">
        <is>
          <t>DERECHA</t>
        </is>
      </c>
      <c r="K41" s="81" t="n"/>
      <c r="L41" s="81" t="inlineStr">
        <is>
          <t>HUARMEY-CHICAMA</t>
        </is>
      </c>
      <c r="M41" s="81" t="inlineStr">
        <is>
          <t>CHICAMA</t>
        </is>
      </c>
      <c r="N41" s="81" t="inlineStr">
        <is>
          <t>Unidad Hidrografica 13773</t>
        </is>
      </c>
      <c r="O41" s="81" t="n"/>
      <c r="P41" s="81" t="n">
        <v>17</v>
      </c>
      <c r="Q41" s="81" t="n">
        <v>0</v>
      </c>
      <c r="R41" s="81" t="inlineStr">
        <is>
          <t>SUCESION DE PINILLOS, TEJEDA EUSEBIO</t>
        </is>
      </c>
      <c r="S41" s="82" t="inlineStr">
        <is>
          <t>TASE</t>
        </is>
      </c>
      <c r="T41" s="83" t="inlineStr">
        <is>
          <t>AGRICOLA</t>
        </is>
      </c>
      <c r="U41" s="84" t="n">
        <v>45425</v>
      </c>
      <c r="V41" s="83" t="n">
        <v>0</v>
      </c>
      <c r="W41" s="83" t="n">
        <v>6.16</v>
      </c>
      <c r="X41" s="83" t="n">
        <v>6.16</v>
      </c>
      <c r="Y41" s="76" t="n">
        <v>0</v>
      </c>
      <c r="Z41" s="443" t="n">
        <v>1286</v>
      </c>
      <c r="AA41" s="442" t="n">
        <v>7.42</v>
      </c>
      <c r="AB41" s="443" t="n">
        <v>640</v>
      </c>
      <c r="AC41" s="442" t="n">
        <v>25.3</v>
      </c>
      <c r="AD41" s="80" t="n"/>
      <c r="AE41" s="81" t="inlineStr">
        <is>
          <t>VISITADO</t>
        </is>
      </c>
      <c r="AF41" s="82" t="inlineStr">
        <is>
          <t>2024-05-13T09:06:47.949</t>
        </is>
      </c>
      <c r="AG41" s="457" t="n">
        <v>0.447</v>
      </c>
      <c r="AH41" s="442" t="n">
        <v>2.8</v>
      </c>
      <c r="AI41" s="89" t="n">
        <v>2</v>
      </c>
      <c r="AJ41" s="444" t="n">
        <v>2.36</v>
      </c>
      <c r="AK41" s="91" t="n">
        <v>0.03</v>
      </c>
      <c r="AL41" s="92" t="inlineStr">
        <is>
          <t>(1)</t>
        </is>
      </c>
      <c r="AM41" s="445" t="n">
        <v>0.21</v>
      </c>
      <c r="AN41" s="444" t="n">
        <v>0.312</v>
      </c>
      <c r="AO41" s="140">
        <f>38*5</f>
        <v/>
      </c>
      <c r="AP41" s="136" t="inlineStr">
        <is>
          <t>*</t>
        </is>
      </c>
      <c r="AQ41" s="132" t="inlineStr">
        <is>
          <t>*</t>
        </is>
      </c>
      <c r="AR41" s="132" t="inlineStr">
        <is>
          <t>*</t>
        </is>
      </c>
    </row>
    <row r="42" ht="20.25" customHeight="1">
      <c r="B42" s="76" t="n">
        <v>34</v>
      </c>
      <c r="C42" s="77" t="n">
        <v>687075</v>
      </c>
      <c r="D42" s="139" t="n">
        <v>9124619</v>
      </c>
      <c r="E42" s="83" t="inlineStr">
        <is>
          <t>CH-146A-2</t>
        </is>
      </c>
      <c r="F42" s="80" t="n"/>
      <c r="G42" s="81" t="inlineStr">
        <is>
          <t>LA LIBERTAD</t>
        </is>
      </c>
      <c r="H42" s="81" t="inlineStr">
        <is>
          <t>ASCOPE</t>
        </is>
      </c>
      <c r="I42" s="81" t="inlineStr">
        <is>
          <t>MAGDALENA DE CAO</t>
        </is>
      </c>
      <c r="J42" s="81" t="inlineStr">
        <is>
          <t>DERECHA</t>
        </is>
      </c>
      <c r="K42" s="81" t="n"/>
      <c r="L42" s="81" t="inlineStr">
        <is>
          <t>HUARMEY-CHICAMA</t>
        </is>
      </c>
      <c r="M42" s="81" t="inlineStr">
        <is>
          <t>CHICAMA</t>
        </is>
      </c>
      <c r="N42" s="81" t="inlineStr">
        <is>
          <t>Unidad Hidrografica 13773</t>
        </is>
      </c>
      <c r="O42" s="81" t="n"/>
      <c r="P42" s="81" t="n">
        <v>17</v>
      </c>
      <c r="Q42" s="81" t="n">
        <v>0</v>
      </c>
      <c r="R42" s="81" t="n"/>
      <c r="S42" s="82" t="inlineStr">
        <is>
          <t>TASE</t>
        </is>
      </c>
      <c r="T42" s="83" t="inlineStr">
        <is>
          <t>AGRÍCOLA</t>
        </is>
      </c>
      <c r="U42" s="84" t="n">
        <v>45412</v>
      </c>
      <c r="V42" s="83" t="n">
        <v>0.4</v>
      </c>
      <c r="W42" s="83" t="n">
        <v>1.76</v>
      </c>
      <c r="X42" s="83" t="n">
        <v>1.36</v>
      </c>
      <c r="Y42" s="76" t="n">
        <v>0</v>
      </c>
      <c r="Z42" s="441" t="n">
        <v>1527</v>
      </c>
      <c r="AA42" s="442" t="n">
        <v>7.74</v>
      </c>
      <c r="AB42" s="443" t="n">
        <v>778</v>
      </c>
      <c r="AC42" s="442" t="n">
        <v>24.3</v>
      </c>
      <c r="AD42" s="80" t="n"/>
      <c r="AE42" s="81" t="inlineStr">
        <is>
          <t>VISITADO</t>
        </is>
      </c>
      <c r="AF42" s="82" t="inlineStr">
        <is>
          <t>2024-04-30T10:17:00.911</t>
        </is>
      </c>
      <c r="AG42" s="100" t="n">
        <v>2.77</v>
      </c>
      <c r="AH42" s="442" t="n">
        <v>0.4</v>
      </c>
      <c r="AI42" s="98" t="n">
        <v>11</v>
      </c>
      <c r="AJ42" s="444" t="n">
        <v>2.41</v>
      </c>
      <c r="AK42" s="91" t="n">
        <v>0.013</v>
      </c>
      <c r="AL42" s="92" t="inlineStr">
        <is>
          <t>(1)</t>
        </is>
      </c>
      <c r="AM42" s="445" t="n">
        <v>0.14</v>
      </c>
      <c r="AN42" s="91" t="n">
        <v>0.029</v>
      </c>
      <c r="AO42" s="99" t="n">
        <v>290</v>
      </c>
      <c r="AP42" s="96" t="inlineStr">
        <is>
          <t>*</t>
        </is>
      </c>
      <c r="AQ42" s="97" t="inlineStr">
        <is>
          <t>*</t>
        </is>
      </c>
      <c r="AR42" s="97" t="inlineStr">
        <is>
          <t>*</t>
        </is>
      </c>
    </row>
    <row r="43" ht="20.25" customFormat="1" customHeight="1" s="54">
      <c r="B43" s="104" t="n">
        <v>35</v>
      </c>
      <c r="C43" s="105" t="n">
        <v>686044</v>
      </c>
      <c r="D43" s="138" t="n">
        <v>9125450</v>
      </c>
      <c r="E43" s="111" t="inlineStr">
        <is>
          <t>CH-126A</t>
        </is>
      </c>
      <c r="F43" s="108" t="n"/>
      <c r="G43" s="109" t="inlineStr">
        <is>
          <t>LA LIBERTAD</t>
        </is>
      </c>
      <c r="H43" s="109" t="inlineStr">
        <is>
          <t>ASCOPE</t>
        </is>
      </c>
      <c r="I43" s="109" t="inlineStr">
        <is>
          <t>MAGDALENA DE CAO</t>
        </is>
      </c>
      <c r="J43" s="109" t="inlineStr">
        <is>
          <t>DERECHA</t>
        </is>
      </c>
      <c r="K43" s="109" t="n"/>
      <c r="L43" s="109" t="inlineStr">
        <is>
          <t>HUARMEY-CHICAMA</t>
        </is>
      </c>
      <c r="M43" s="109" t="inlineStr">
        <is>
          <t>CHICAMA</t>
        </is>
      </c>
      <c r="N43" s="109" t="inlineStr">
        <is>
          <t>Unidad Hidrografica 13773</t>
        </is>
      </c>
      <c r="O43" s="109" t="n"/>
      <c r="P43" s="109" t="n">
        <v>17</v>
      </c>
      <c r="Q43" s="109" t="n">
        <v>0</v>
      </c>
      <c r="R43" s="109" t="n"/>
      <c r="S43" s="110" t="inlineStr">
        <is>
          <t>TACE</t>
        </is>
      </c>
      <c r="T43" s="111" t="inlineStr">
        <is>
          <t>CONSUMO HUMANO</t>
        </is>
      </c>
      <c r="U43" s="112" t="n">
        <v>45412</v>
      </c>
      <c r="V43" s="111" t="n">
        <v>0.95</v>
      </c>
      <c r="W43" s="111" t="n">
        <v>3.95</v>
      </c>
      <c r="X43" s="111" t="n">
        <v>3</v>
      </c>
      <c r="Y43" s="104" t="n">
        <v>0</v>
      </c>
      <c r="Z43" s="448" t="n">
        <v>4300</v>
      </c>
      <c r="AA43" s="449" t="n">
        <v>7.52</v>
      </c>
      <c r="AB43" s="448" t="n">
        <v>2290</v>
      </c>
      <c r="AC43" s="449" t="n">
        <v>23.7</v>
      </c>
      <c r="AD43" s="108" t="n"/>
      <c r="AE43" s="109" t="inlineStr">
        <is>
          <t>VISITADO</t>
        </is>
      </c>
      <c r="AF43" s="110" t="inlineStr">
        <is>
          <t>2024-04-30T10:32:37.210</t>
        </is>
      </c>
      <c r="AG43" s="115" t="n">
        <v>1.21</v>
      </c>
      <c r="AH43" s="449" t="n">
        <v>1.1</v>
      </c>
      <c r="AI43" s="129" t="n">
        <v>10</v>
      </c>
      <c r="AJ43" s="450" t="n">
        <v>1.63</v>
      </c>
      <c r="AK43" s="118" t="n">
        <v>0.022</v>
      </c>
      <c r="AL43" s="119" t="inlineStr">
        <is>
          <t>(1)</t>
        </is>
      </c>
      <c r="AM43" s="451" t="n">
        <v>0.21</v>
      </c>
      <c r="AN43" s="145" t="n">
        <v>0.048</v>
      </c>
      <c r="AO43" s="122" t="n">
        <v>280</v>
      </c>
      <c r="AP43" s="123" t="n">
        <v>120</v>
      </c>
      <c r="AQ43" s="124" t="n">
        <v>0</v>
      </c>
      <c r="AR43" s="124" t="n">
        <v>0</v>
      </c>
    </row>
    <row r="44" ht="20.25" customHeight="1">
      <c r="B44" s="76" t="n">
        <v>36</v>
      </c>
      <c r="C44" s="77" t="n">
        <v>687618.032</v>
      </c>
      <c r="D44" s="139" t="n">
        <v>9128921.4583</v>
      </c>
      <c r="E44" s="83" t="inlineStr">
        <is>
          <t>CH-120C</t>
        </is>
      </c>
      <c r="F44" s="80" t="n"/>
      <c r="G44" s="81" t="inlineStr">
        <is>
          <t>LA LIBERTAD</t>
        </is>
      </c>
      <c r="H44" s="81" t="inlineStr">
        <is>
          <t>ASCOPE</t>
        </is>
      </c>
      <c r="I44" s="81" t="inlineStr">
        <is>
          <t>MAGDALENA DE CAO</t>
        </is>
      </c>
      <c r="J44" s="81" t="inlineStr">
        <is>
          <t>DERECHA</t>
        </is>
      </c>
      <c r="K44" s="81" t="n"/>
      <c r="L44" s="81" t="inlineStr">
        <is>
          <t>HUARMEY-CHICAMA</t>
        </is>
      </c>
      <c r="M44" s="81" t="inlineStr">
        <is>
          <t>CHICAMA</t>
        </is>
      </c>
      <c r="N44" s="81" t="inlineStr">
        <is>
          <t>Intercuenca 13773</t>
        </is>
      </c>
      <c r="O44" s="81" t="n"/>
      <c r="P44" s="81" t="n">
        <v>17</v>
      </c>
      <c r="Q44" s="81" t="n">
        <v>0</v>
      </c>
      <c r="R44" s="81" t="inlineStr">
        <is>
          <t>GARCIA ARROYO, NEMECIO</t>
        </is>
      </c>
      <c r="S44" s="82" t="n"/>
      <c r="T44" s="83" t="inlineStr">
        <is>
          <t>HUMANO</t>
        </is>
      </c>
      <c r="U44" s="84" t="n">
        <v>45412</v>
      </c>
      <c r="V44" s="83" t="n">
        <v>0</v>
      </c>
      <c r="W44" s="83" t="n">
        <v>0</v>
      </c>
      <c r="X44" s="83" t="n">
        <v>0</v>
      </c>
      <c r="Y44" s="76" t="n">
        <v>0</v>
      </c>
      <c r="Z44" s="458" t="n"/>
      <c r="AA44" s="458" t="inlineStr">
        <is>
          <t>-</t>
        </is>
      </c>
      <c r="AB44" s="144" t="n"/>
      <c r="AC44" s="442" t="n"/>
      <c r="AD44" s="80" t="n"/>
      <c r="AE44" s="81" t="n"/>
      <c r="AF44" s="82" t="n"/>
      <c r="AG44" s="147" t="n"/>
      <c r="AH44" s="92" t="n"/>
      <c r="AI44" s="147" t="n"/>
      <c r="AJ44" s="459" t="n"/>
      <c r="AK44" s="144" t="n"/>
      <c r="AL44" s="92" t="n"/>
      <c r="AM44" s="149" t="n"/>
      <c r="AN44" s="144" t="n"/>
      <c r="AO44" s="143" t="n"/>
      <c r="AP44" s="150" t="n"/>
      <c r="AQ44" s="143" t="n"/>
      <c r="AR44" s="143" t="n"/>
    </row>
    <row r="45" ht="20.25" customHeight="1">
      <c r="B45" s="76" t="n">
        <v>37</v>
      </c>
      <c r="C45" s="77" t="n">
        <v>686602</v>
      </c>
      <c r="D45" s="139" t="n">
        <v>9128803</v>
      </c>
      <c r="E45" s="83" t="inlineStr">
        <is>
          <t>CH-120B</t>
        </is>
      </c>
      <c r="F45" s="80" t="n"/>
      <c r="G45" s="81" t="inlineStr">
        <is>
          <t>LA LIBERTAD</t>
        </is>
      </c>
      <c r="H45" s="81" t="inlineStr">
        <is>
          <t>ASCOPE</t>
        </is>
      </c>
      <c r="I45" s="81" t="inlineStr">
        <is>
          <t>MAGDALENA DE CAO</t>
        </is>
      </c>
      <c r="J45" s="81" t="inlineStr">
        <is>
          <t>DERECHA</t>
        </is>
      </c>
      <c r="K45" s="81" t="n"/>
      <c r="L45" s="81" t="inlineStr">
        <is>
          <t>HUARMEY-CHICAMA</t>
        </is>
      </c>
      <c r="M45" s="81" t="inlineStr">
        <is>
          <t>CHICAMA</t>
        </is>
      </c>
      <c r="N45" s="81" t="inlineStr">
        <is>
          <t>Unidad Hidrografica 13773</t>
        </is>
      </c>
      <c r="O45" s="81" t="n"/>
      <c r="P45" s="81" t="n">
        <v>17</v>
      </c>
      <c r="Q45" s="81" t="n">
        <v>0</v>
      </c>
      <c r="R45" s="81" t="inlineStr">
        <is>
          <t>ORBEGOSO VILLALTA, ZACARIAS SEGUNDO</t>
        </is>
      </c>
      <c r="S45" s="82" t="inlineStr">
        <is>
          <t>TASE</t>
        </is>
      </c>
      <c r="T45" s="83" t="inlineStr">
        <is>
          <t>AGRICOLA</t>
        </is>
      </c>
      <c r="U45" s="84" t="n">
        <v>45412</v>
      </c>
      <c r="V45" s="83" t="n">
        <v>-0.3</v>
      </c>
      <c r="W45" s="83" t="n">
        <v>1.29</v>
      </c>
      <c r="X45" s="83" t="n">
        <v>1.59</v>
      </c>
      <c r="Y45" s="76" t="n">
        <v>0</v>
      </c>
      <c r="Z45" s="441" t="n">
        <v>2480</v>
      </c>
      <c r="AA45" s="442" t="n">
        <v>7.9</v>
      </c>
      <c r="AB45" s="441" t="n">
        <v>1281</v>
      </c>
      <c r="AC45" s="442" t="n">
        <v>24.3</v>
      </c>
      <c r="AD45" s="80" t="n"/>
      <c r="AE45" s="81" t="inlineStr">
        <is>
          <t>VISITADO</t>
        </is>
      </c>
      <c r="AF45" s="82" t="inlineStr">
        <is>
          <t>2024-04-30T11:29:30.309</t>
        </is>
      </c>
      <c r="AG45" s="100" t="n">
        <v>2.9</v>
      </c>
      <c r="AH45" s="442" t="n">
        <v>0.5</v>
      </c>
      <c r="AI45" s="98" t="n">
        <v>12</v>
      </c>
      <c r="AJ45" s="444" t="n">
        <v>0.92</v>
      </c>
      <c r="AK45" s="91" t="n">
        <v>0.02</v>
      </c>
      <c r="AL45" s="92" t="inlineStr">
        <is>
          <t>(1)</t>
        </is>
      </c>
      <c r="AM45" s="445" t="n">
        <v>0.18</v>
      </c>
      <c r="AN45" s="444" t="n">
        <v>0.107</v>
      </c>
      <c r="AO45" s="99" t="n">
        <v>285</v>
      </c>
      <c r="AP45" s="96" t="inlineStr">
        <is>
          <t>*</t>
        </is>
      </c>
      <c r="AQ45" s="97" t="inlineStr">
        <is>
          <t>*</t>
        </is>
      </c>
      <c r="AR45" s="97" t="inlineStr">
        <is>
          <t>*</t>
        </is>
      </c>
    </row>
    <row r="46" ht="20.25" customHeight="1">
      <c r="B46" s="76" t="n">
        <v>38</v>
      </c>
      <c r="C46" s="77" t="n">
        <v>687739</v>
      </c>
      <c r="D46" s="139" t="n">
        <v>9130397</v>
      </c>
      <c r="E46" s="83" t="inlineStr">
        <is>
          <t>CH-148A-1</t>
        </is>
      </c>
      <c r="F46" s="80" t="inlineStr">
        <is>
          <t>IRHS-13-02-04-188</t>
        </is>
      </c>
      <c r="G46" s="81" t="inlineStr">
        <is>
          <t>LA LIBERTAD</t>
        </is>
      </c>
      <c r="H46" s="81" t="inlineStr">
        <is>
          <t>ASCOPE</t>
        </is>
      </c>
      <c r="I46" s="81" t="inlineStr">
        <is>
          <t>MAGDALENA DE CAO</t>
        </is>
      </c>
      <c r="J46" s="81" t="inlineStr">
        <is>
          <t>DERECHA</t>
        </is>
      </c>
      <c r="K46" s="81" t="n"/>
      <c r="L46" s="81" t="inlineStr">
        <is>
          <t>HUARMEY-CHICAMA</t>
        </is>
      </c>
      <c r="M46" s="81" t="inlineStr">
        <is>
          <t>CHICAMA</t>
        </is>
      </c>
      <c r="N46" s="81" t="inlineStr">
        <is>
          <t>Unidad Hidrografica 13773</t>
        </is>
      </c>
      <c r="O46" s="81" t="n">
        <v>41885</v>
      </c>
      <c r="P46" s="81" t="n">
        <v>17</v>
      </c>
      <c r="Q46" s="81" t="n">
        <v>0</v>
      </c>
      <c r="R46" s="81" t="inlineStr">
        <is>
          <t>CAMPOS DE LA CRUZ, ROMAN NELSON</t>
        </is>
      </c>
      <c r="S46" s="82" t="inlineStr">
        <is>
          <t>TASE</t>
        </is>
      </c>
      <c r="T46" s="83" t="inlineStr">
        <is>
          <t>AGRÍCOLA</t>
        </is>
      </c>
      <c r="U46" s="84" t="n">
        <v>45412</v>
      </c>
      <c r="V46" s="83" t="n">
        <v>0</v>
      </c>
      <c r="W46" s="83" t="n">
        <v>1.54</v>
      </c>
      <c r="X46" s="83" t="n">
        <v>1.54</v>
      </c>
      <c r="Y46" s="76" t="n">
        <v>0</v>
      </c>
      <c r="Z46" s="441" t="n">
        <v>1688</v>
      </c>
      <c r="AA46" s="442" t="n">
        <v>7.41</v>
      </c>
      <c r="AB46" s="443" t="n">
        <v>854</v>
      </c>
      <c r="AC46" s="442" t="n">
        <v>24.7</v>
      </c>
      <c r="AD46" s="80" t="n"/>
      <c r="AE46" s="81" t="inlineStr">
        <is>
          <t>VISITADO</t>
        </is>
      </c>
      <c r="AF46" s="82" t="inlineStr">
        <is>
          <t>2024-04-30T11:50:51.153</t>
        </is>
      </c>
      <c r="AG46" s="88" t="n">
        <v>8.74</v>
      </c>
      <c r="AH46" s="442" t="n">
        <v>0.6</v>
      </c>
      <c r="AI46" s="89" t="n">
        <v>9</v>
      </c>
      <c r="AJ46" s="444" t="n">
        <v>0.27</v>
      </c>
      <c r="AK46" s="91" t="n">
        <v>0.012</v>
      </c>
      <c r="AL46" s="92" t="inlineStr">
        <is>
          <t>(1)</t>
        </is>
      </c>
      <c r="AM46" s="445" t="n">
        <v>0.15</v>
      </c>
      <c r="AN46" s="444" t="n">
        <v>0.052</v>
      </c>
      <c r="AO46" s="99" t="n">
        <v>270</v>
      </c>
      <c r="AP46" s="96" t="inlineStr">
        <is>
          <t>*</t>
        </is>
      </c>
      <c r="AQ46" s="97" t="inlineStr">
        <is>
          <t>*</t>
        </is>
      </c>
      <c r="AR46" s="97" t="inlineStr">
        <is>
          <t>*</t>
        </is>
      </c>
    </row>
    <row r="47" ht="20.25" customHeight="1">
      <c r="B47" s="76" t="n">
        <v>39</v>
      </c>
      <c r="C47" s="77" t="n">
        <v>689666</v>
      </c>
      <c r="D47" s="139" t="n">
        <v>9130743</v>
      </c>
      <c r="E47" s="83" t="inlineStr">
        <is>
          <t>CH-142</t>
        </is>
      </c>
      <c r="F47" s="80" t="inlineStr">
        <is>
          <t>IRHS-13-02-04-269</t>
        </is>
      </c>
      <c r="G47" s="81" t="inlineStr">
        <is>
          <t>LA LIBERTAD</t>
        </is>
      </c>
      <c r="H47" s="81" t="inlineStr">
        <is>
          <t>ASCOPE</t>
        </is>
      </c>
      <c r="I47" s="81" t="inlineStr">
        <is>
          <t>MAGDALENA DE CAO</t>
        </is>
      </c>
      <c r="J47" s="81" t="inlineStr">
        <is>
          <t>DERECHA</t>
        </is>
      </c>
      <c r="K47" s="81" t="n"/>
      <c r="L47" s="81" t="inlineStr">
        <is>
          <t>HUARMEY-CHICAMA</t>
        </is>
      </c>
      <c r="M47" s="81" t="inlineStr">
        <is>
          <t>CHICAMA</t>
        </is>
      </c>
      <c r="N47" s="81" t="inlineStr">
        <is>
          <t>Unidad Hidrografica 13773</t>
        </is>
      </c>
      <c r="O47" s="81" t="n">
        <v>41824</v>
      </c>
      <c r="P47" s="81" t="n">
        <v>17</v>
      </c>
      <c r="Q47" s="81" t="n">
        <v>0</v>
      </c>
      <c r="R47" s="81" t="inlineStr">
        <is>
          <t>EMPRESA AGROINDUSTRIAL, CASA GRANDE S.A.-1 N SANTO DOMINGO</t>
        </is>
      </c>
      <c r="S47" s="82" t="inlineStr">
        <is>
          <t>TSE</t>
        </is>
      </c>
      <c r="T47" s="83" t="inlineStr">
        <is>
          <t>AGRÍCOLA</t>
        </is>
      </c>
      <c r="U47" s="84" t="n">
        <v>45411</v>
      </c>
      <c r="V47" s="83" t="n">
        <v>0.15</v>
      </c>
      <c r="W47" s="83" t="n">
        <v>1.27</v>
      </c>
      <c r="X47" s="83" t="n">
        <v>1.12</v>
      </c>
      <c r="Y47" s="76" t="n">
        <v>0</v>
      </c>
      <c r="Z47" s="443" t="n">
        <v>741</v>
      </c>
      <c r="AA47" s="442" t="n">
        <v>8.23</v>
      </c>
      <c r="AB47" s="443" t="n">
        <v>361</v>
      </c>
      <c r="AC47" s="442" t="n">
        <v>24.9</v>
      </c>
      <c r="AD47" s="80" t="n"/>
      <c r="AE47" s="81" t="inlineStr">
        <is>
          <t>VISITADO</t>
        </is>
      </c>
      <c r="AF47" s="82" t="inlineStr">
        <is>
          <t>2024-04-30T13:00:53.463</t>
        </is>
      </c>
      <c r="AG47" s="88" t="n">
        <v>7.64</v>
      </c>
      <c r="AH47" s="442" t="n">
        <v>0.7</v>
      </c>
      <c r="AI47" s="98" t="n">
        <v>12</v>
      </c>
      <c r="AJ47" s="444" t="n">
        <v>0.3</v>
      </c>
      <c r="AK47" s="91" t="n">
        <v>0.014</v>
      </c>
      <c r="AL47" s="92" t="inlineStr">
        <is>
          <t>(1)</t>
        </is>
      </c>
      <c r="AM47" s="445" t="n">
        <v>0.19</v>
      </c>
      <c r="AN47" s="444" t="n">
        <v>0.109</v>
      </c>
      <c r="AO47" s="140" t="n">
        <v>70</v>
      </c>
      <c r="AP47" s="96" t="inlineStr">
        <is>
          <t>*</t>
        </is>
      </c>
      <c r="AQ47" s="97" t="inlineStr">
        <is>
          <t>*</t>
        </is>
      </c>
      <c r="AR47" s="97" t="inlineStr">
        <is>
          <t>*</t>
        </is>
      </c>
    </row>
    <row r="48" ht="20.25" customFormat="1" customHeight="1" s="54">
      <c r="B48" s="104" t="n">
        <v>40</v>
      </c>
      <c r="C48" s="105" t="n">
        <v>690192</v>
      </c>
      <c r="D48" s="138" t="n">
        <v>9132567</v>
      </c>
      <c r="E48" s="111" t="inlineStr">
        <is>
          <t>CH-107A</t>
        </is>
      </c>
      <c r="F48" s="108" t="inlineStr">
        <is>
          <t>IRHS-13-02-04-128</t>
        </is>
      </c>
      <c r="G48" s="109" t="inlineStr">
        <is>
          <t>LA LIBERTAD</t>
        </is>
      </c>
      <c r="H48" s="109" t="inlineStr">
        <is>
          <t>ASCOPE</t>
        </is>
      </c>
      <c r="I48" s="109" t="inlineStr">
        <is>
          <t>MAGDALENA DE CAO</t>
        </is>
      </c>
      <c r="J48" s="109" t="inlineStr">
        <is>
          <t>DERECHA</t>
        </is>
      </c>
      <c r="K48" s="109" t="n"/>
      <c r="L48" s="109" t="inlineStr">
        <is>
          <t>HUARMEY-CHICAMA</t>
        </is>
      </c>
      <c r="M48" s="109" t="inlineStr">
        <is>
          <t>CHICAMA</t>
        </is>
      </c>
      <c r="N48" s="109" t="inlineStr">
        <is>
          <t>Unidad Hidrografica 13773</t>
        </is>
      </c>
      <c r="O48" s="109" t="n">
        <v>41882</v>
      </c>
      <c r="P48" s="109" t="n">
        <v>17</v>
      </c>
      <c r="Q48" s="109" t="n">
        <v>0</v>
      </c>
      <c r="R48" s="109" t="inlineStr">
        <is>
          <t>CASERIO LA HUACA</t>
        </is>
      </c>
      <c r="S48" s="110" t="inlineStr">
        <is>
          <t>TACE</t>
        </is>
      </c>
      <c r="T48" s="111" t="inlineStr">
        <is>
          <t>CONSUMO HUMANO-AGRICOLA</t>
        </is>
      </c>
      <c r="U48" s="112" t="n">
        <v>45412</v>
      </c>
      <c r="V48" s="111" t="n">
        <v>-0.5</v>
      </c>
      <c r="W48" s="111" t="n">
        <v>3.22</v>
      </c>
      <c r="X48" s="111" t="n">
        <v>3.72</v>
      </c>
      <c r="Y48" s="104" t="n">
        <v>0</v>
      </c>
      <c r="Z48" s="453" t="n">
        <v>1404</v>
      </c>
      <c r="AA48" s="449" t="n">
        <v>7.41</v>
      </c>
      <c r="AB48" s="453" t="n">
        <v>703</v>
      </c>
      <c r="AC48" s="449" t="n">
        <v>25</v>
      </c>
      <c r="AD48" s="108" t="n"/>
      <c r="AE48" s="109" t="inlineStr">
        <is>
          <t>VISITADO</t>
        </is>
      </c>
      <c r="AF48" s="110" t="inlineStr">
        <is>
          <t>2024-04-30T12:32:18.507</t>
        </is>
      </c>
      <c r="AG48" s="127" t="n">
        <v>7.13</v>
      </c>
      <c r="AH48" s="449" t="n">
        <v>0.8</v>
      </c>
      <c r="AI48" s="116" t="n">
        <v>15</v>
      </c>
      <c r="AJ48" s="450" t="n">
        <v>0.18</v>
      </c>
      <c r="AK48" s="118" t="n">
        <v>0.02</v>
      </c>
      <c r="AL48" s="119" t="inlineStr">
        <is>
          <t>(1)</t>
        </is>
      </c>
      <c r="AM48" s="451" t="n">
        <v>0.14</v>
      </c>
      <c r="AN48" s="450" t="n">
        <v>0.191</v>
      </c>
      <c r="AO48" s="122" t="n">
        <v>260</v>
      </c>
      <c r="AP48" s="123" t="n">
        <v>100</v>
      </c>
      <c r="AQ48" s="124" t="n">
        <v>0</v>
      </c>
      <c r="AR48" s="124" t="n">
        <v>0</v>
      </c>
    </row>
    <row r="49" ht="20.25" customHeight="1">
      <c r="B49" s="76" t="n">
        <v>41</v>
      </c>
      <c r="C49" s="77" t="n">
        <v>689607</v>
      </c>
      <c r="D49" s="139" t="n">
        <v>9131894</v>
      </c>
      <c r="E49" s="83" t="inlineStr">
        <is>
          <t>CH-143A</t>
        </is>
      </c>
      <c r="F49" s="80" t="inlineStr">
        <is>
          <t>IRHS-13-02-04-132</t>
        </is>
      </c>
      <c r="G49" s="81" t="inlineStr">
        <is>
          <t>LA LIBERTAD</t>
        </is>
      </c>
      <c r="H49" s="81" t="inlineStr">
        <is>
          <t>ASCOPE</t>
        </is>
      </c>
      <c r="I49" s="81" t="inlineStr">
        <is>
          <t>MAGDALENA DE CAO</t>
        </is>
      </c>
      <c r="J49" s="81" t="inlineStr">
        <is>
          <t>DERECHA</t>
        </is>
      </c>
      <c r="K49" s="81" t="n"/>
      <c r="L49" s="81" t="inlineStr">
        <is>
          <t>HUARMEY-CHICAMA</t>
        </is>
      </c>
      <c r="M49" s="81" t="inlineStr">
        <is>
          <t>CHICAMA</t>
        </is>
      </c>
      <c r="N49" s="81" t="inlineStr">
        <is>
          <t>Unidad Hidrografica 13773</t>
        </is>
      </c>
      <c r="O49" s="81" t="n">
        <v>41881</v>
      </c>
      <c r="P49" s="81" t="n">
        <v>17</v>
      </c>
      <c r="Q49" s="81" t="n">
        <v>0</v>
      </c>
      <c r="R49" s="81" t="inlineStr">
        <is>
          <t>PINILLOS AGUILAR, VICTOR JAVIER</t>
        </is>
      </c>
      <c r="S49" s="82" t="inlineStr">
        <is>
          <t>TASE</t>
        </is>
      </c>
      <c r="T49" s="83" t="inlineStr">
        <is>
          <t>AGRICOLA</t>
        </is>
      </c>
      <c r="U49" s="84" t="n">
        <v>45412</v>
      </c>
      <c r="V49" s="83" t="n">
        <v>0.35</v>
      </c>
      <c r="W49" s="83" t="n">
        <v>0.91</v>
      </c>
      <c r="X49" s="83" t="n">
        <v>0.5600000000000001</v>
      </c>
      <c r="Y49" s="76" t="n">
        <v>0</v>
      </c>
      <c r="Z49" s="441" t="n">
        <v>1753</v>
      </c>
      <c r="AA49" s="442" t="n">
        <v>7.38</v>
      </c>
      <c r="AB49" s="443" t="n">
        <v>874</v>
      </c>
      <c r="AC49" s="442" t="n">
        <v>25.3</v>
      </c>
      <c r="AD49" s="80" t="n"/>
      <c r="AE49" s="81" t="inlineStr">
        <is>
          <t>VISITADO</t>
        </is>
      </c>
      <c r="AF49" s="82" t="inlineStr">
        <is>
          <t>2024-04-30T12:41:09.982</t>
        </is>
      </c>
      <c r="AG49" s="100" t="n">
        <v>3.13</v>
      </c>
      <c r="AH49" s="442" t="n">
        <v>1.9</v>
      </c>
      <c r="AI49" s="89" t="n">
        <v>7</v>
      </c>
      <c r="AJ49" s="444" t="n">
        <v>0.16</v>
      </c>
      <c r="AK49" s="91" t="n">
        <v>0.024</v>
      </c>
      <c r="AL49" s="92" t="inlineStr">
        <is>
          <t>(1)</t>
        </is>
      </c>
      <c r="AM49" s="445" t="n">
        <v>0.16</v>
      </c>
      <c r="AN49" s="91" t="n">
        <v>0.048</v>
      </c>
      <c r="AO49" s="140" t="n">
        <v>245</v>
      </c>
      <c r="AP49" s="96" t="inlineStr">
        <is>
          <t>*</t>
        </is>
      </c>
      <c r="AQ49" s="97" t="inlineStr">
        <is>
          <t>*</t>
        </is>
      </c>
      <c r="AR49" s="97" t="inlineStr">
        <is>
          <t>*</t>
        </is>
      </c>
    </row>
    <row r="50" ht="20.25" customHeight="1">
      <c r="B50" s="76" t="n">
        <v>42</v>
      </c>
      <c r="C50" s="77" t="n">
        <v>694776</v>
      </c>
      <c r="D50" s="139" t="n">
        <v>9135112</v>
      </c>
      <c r="E50" s="83" t="inlineStr">
        <is>
          <t>CH-57A</t>
        </is>
      </c>
      <c r="F50" s="80" t="inlineStr">
        <is>
          <t>IRHS-13-02-03-19</t>
        </is>
      </c>
      <c r="G50" s="81" t="inlineStr">
        <is>
          <t>LA LIBERTAD</t>
        </is>
      </c>
      <c r="H50" s="81" t="inlineStr">
        <is>
          <t>ASCOPE</t>
        </is>
      </c>
      <c r="I50" s="81" t="inlineStr">
        <is>
          <t>CHOCOPE</t>
        </is>
      </c>
      <c r="J50" s="81" t="inlineStr">
        <is>
          <t>DERECHA</t>
        </is>
      </c>
      <c r="K50" s="81" t="n"/>
      <c r="L50" s="81" t="inlineStr">
        <is>
          <t>HUARMEY-CHICAMA</t>
        </is>
      </c>
      <c r="M50" s="81" t="inlineStr">
        <is>
          <t>CHICAMA</t>
        </is>
      </c>
      <c r="N50" s="81" t="inlineStr">
        <is>
          <t>Unidad Hidrografica 13773</t>
        </is>
      </c>
      <c r="O50" s="81" t="n">
        <v>41821</v>
      </c>
      <c r="P50" s="81" t="n">
        <v>17</v>
      </c>
      <c r="Q50" s="81" t="n">
        <v>0</v>
      </c>
      <c r="R50" s="81" t="inlineStr">
        <is>
          <t>EMPRESA AGROINDUSTRIAL, CASA GRANDE S.A.- 7 SANTA BARBARA</t>
        </is>
      </c>
      <c r="S50" s="82" t="inlineStr">
        <is>
          <t>TSE</t>
        </is>
      </c>
      <c r="T50" s="83" t="inlineStr">
        <is>
          <t>AGRICOLA</t>
        </is>
      </c>
      <c r="U50" s="84" t="n">
        <v>45414</v>
      </c>
      <c r="V50" s="83" t="n">
        <v>0.35</v>
      </c>
      <c r="W50" s="83" t="n">
        <v>0</v>
      </c>
      <c r="X50" s="83" t="n">
        <v>-0.35</v>
      </c>
      <c r="Y50" s="76" t="n">
        <v>0</v>
      </c>
      <c r="Z50" s="443" t="n"/>
      <c r="AA50" s="458" t="inlineStr">
        <is>
          <t>-</t>
        </is>
      </c>
      <c r="AB50" s="443" t="n"/>
      <c r="AC50" s="442" t="n"/>
      <c r="AD50" s="80" t="inlineStr">
        <is>
          <t>Sin Acceso (Abejas)</t>
        </is>
      </c>
      <c r="AE50" s="81" t="inlineStr">
        <is>
          <t>VISITADO</t>
        </is>
      </c>
      <c r="AF50" s="82" t="inlineStr">
        <is>
          <t>2024-05-02T08:11:59.563</t>
        </is>
      </c>
      <c r="AG50" s="147" t="n"/>
      <c r="AH50" s="92" t="n"/>
      <c r="AI50" s="147" t="n"/>
      <c r="AJ50" s="459" t="n"/>
      <c r="AK50" s="144" t="n"/>
      <c r="AL50" s="92" t="n"/>
      <c r="AM50" s="149" t="n"/>
      <c r="AN50" s="144" t="n"/>
      <c r="AO50" s="143" t="n"/>
      <c r="AP50" s="150" t="n"/>
      <c r="AQ50" s="143" t="n"/>
      <c r="AR50" s="143" t="n"/>
    </row>
    <row r="51" ht="20.25" customFormat="1" customHeight="1" s="54">
      <c r="B51" s="104" t="n">
        <v>43</v>
      </c>
      <c r="C51" s="105" t="n">
        <v>692406</v>
      </c>
      <c r="D51" s="138" t="n">
        <v>9137577</v>
      </c>
      <c r="E51" s="111" t="inlineStr">
        <is>
          <t>CH-62A</t>
        </is>
      </c>
      <c r="F51" s="108" t="inlineStr">
        <is>
          <t>IRHS-13-02-03-66</t>
        </is>
      </c>
      <c r="G51" s="109" t="inlineStr">
        <is>
          <t>LA LIBERTAD</t>
        </is>
      </c>
      <c r="H51" s="109" t="inlineStr">
        <is>
          <t>ASCOPE</t>
        </is>
      </c>
      <c r="I51" s="109" t="inlineStr">
        <is>
          <t>CHOCOPE</t>
        </is>
      </c>
      <c r="J51" s="109" t="inlineStr">
        <is>
          <t>DERECHA</t>
        </is>
      </c>
      <c r="K51" s="109" t="n"/>
      <c r="L51" s="109" t="inlineStr">
        <is>
          <t>HUARMEY-CHICAMA</t>
        </is>
      </c>
      <c r="M51" s="109" t="inlineStr">
        <is>
          <t>CHICAMA</t>
        </is>
      </c>
      <c r="N51" s="109" t="inlineStr">
        <is>
          <t>Unidad Hidrografica 13773</t>
        </is>
      </c>
      <c r="O51" s="109" t="n">
        <v>41845</v>
      </c>
      <c r="P51" s="109" t="n">
        <v>17</v>
      </c>
      <c r="Q51" s="109" t="n">
        <v>0</v>
      </c>
      <c r="R51" s="109" t="inlineStr">
        <is>
          <t>MARIA AURIA VELASQUEZ DE DIAZ</t>
        </is>
      </c>
      <c r="S51" s="110" t="inlineStr">
        <is>
          <t>TACE</t>
        </is>
      </c>
      <c r="T51" s="111" t="inlineStr">
        <is>
          <t>HUMANO-AGRICOLA</t>
        </is>
      </c>
      <c r="U51" s="112" t="n">
        <v>45414</v>
      </c>
      <c r="V51" s="111" t="n">
        <v>0.45</v>
      </c>
      <c r="W51" s="111" t="n">
        <v>0.76</v>
      </c>
      <c r="X51" s="111" t="n">
        <v>0.31</v>
      </c>
      <c r="Y51" s="104" t="n">
        <v>0</v>
      </c>
      <c r="Z51" s="453" t="n">
        <v>1446</v>
      </c>
      <c r="AA51" s="449" t="n">
        <v>7.12</v>
      </c>
      <c r="AB51" s="453" t="n">
        <v>743</v>
      </c>
      <c r="AC51" s="449" t="n">
        <v>24</v>
      </c>
      <c r="AD51" s="108" t="n"/>
      <c r="AE51" s="109" t="inlineStr">
        <is>
          <t>VISITADO</t>
        </is>
      </c>
      <c r="AF51" s="110" t="inlineStr">
        <is>
          <t>2024-05-02T11:08:51.924</t>
        </is>
      </c>
      <c r="AG51" s="115" t="n">
        <v>1.33</v>
      </c>
      <c r="AH51" s="449" t="n">
        <v>0.8</v>
      </c>
      <c r="AI51" s="126" t="n">
        <v>6</v>
      </c>
      <c r="AJ51" s="450" t="n">
        <v>0.16</v>
      </c>
      <c r="AK51" s="118" t="n">
        <v>0.021</v>
      </c>
      <c r="AL51" s="119" t="inlineStr">
        <is>
          <t>(1)</t>
        </is>
      </c>
      <c r="AM51" s="451" t="n">
        <v>0.17</v>
      </c>
      <c r="AN51" s="118" t="n">
        <v>0.031</v>
      </c>
      <c r="AO51" s="141" t="n">
        <v>145</v>
      </c>
      <c r="AP51" s="123" t="n">
        <v>80</v>
      </c>
      <c r="AQ51" s="124" t="n">
        <v>0</v>
      </c>
      <c r="AR51" s="124" t="n">
        <v>0</v>
      </c>
    </row>
    <row r="52" ht="20.25" customHeight="1">
      <c r="B52" s="76" t="n">
        <v>44</v>
      </c>
      <c r="C52" s="77" t="n">
        <v>693552</v>
      </c>
      <c r="D52" s="139" t="n">
        <v>9136999</v>
      </c>
      <c r="E52" s="83" t="inlineStr">
        <is>
          <t>CH-62B</t>
        </is>
      </c>
      <c r="F52" s="80" t="inlineStr">
        <is>
          <t>IRHS-13-02-03-155</t>
        </is>
      </c>
      <c r="G52" s="81" t="inlineStr">
        <is>
          <t>LA LIBERTAD</t>
        </is>
      </c>
      <c r="H52" s="81" t="inlineStr">
        <is>
          <t>ASCOPE</t>
        </is>
      </c>
      <c r="I52" s="81" t="inlineStr">
        <is>
          <t>CHOCOPE</t>
        </is>
      </c>
      <c r="J52" s="81" t="inlineStr">
        <is>
          <t>DERECHA</t>
        </is>
      </c>
      <c r="K52" s="81" t="n"/>
      <c r="L52" s="81" t="inlineStr">
        <is>
          <t>HUARMEY-CHICAMA</t>
        </is>
      </c>
      <c r="M52" s="81" t="inlineStr">
        <is>
          <t>CHICAMA</t>
        </is>
      </c>
      <c r="N52" s="81" t="inlineStr">
        <is>
          <t>Unidad Hidrografica 13773</t>
        </is>
      </c>
      <c r="O52" s="81" t="n">
        <v>41842</v>
      </c>
      <c r="P52" s="81" t="n">
        <v>17</v>
      </c>
      <c r="Q52" s="81" t="n">
        <v>0</v>
      </c>
      <c r="R52" s="81" t="inlineStr">
        <is>
          <t>SEGUNDO ZUÑIGA GUEVARA</t>
        </is>
      </c>
      <c r="S52" s="82" t="inlineStr">
        <is>
          <t>TACE</t>
        </is>
      </c>
      <c r="T52" s="83" t="inlineStr">
        <is>
          <t>AGRÍCOLA</t>
        </is>
      </c>
      <c r="U52" s="84" t="n">
        <v>45414</v>
      </c>
      <c r="V52" s="83" t="n">
        <v>0.2</v>
      </c>
      <c r="W52" s="83" t="n">
        <v>3.26</v>
      </c>
      <c r="X52" s="83" t="n">
        <v>3.06</v>
      </c>
      <c r="Y52" s="76" t="n">
        <v>0</v>
      </c>
      <c r="Z52" s="443" t="n">
        <v>938</v>
      </c>
      <c r="AA52" s="442" t="n">
        <v>7.58</v>
      </c>
      <c r="AB52" s="443" t="n">
        <v>482</v>
      </c>
      <c r="AC52" s="442" t="n">
        <v>23</v>
      </c>
      <c r="AD52" s="80" t="n"/>
      <c r="AE52" s="81" t="inlineStr">
        <is>
          <t>VISITADO</t>
        </is>
      </c>
      <c r="AF52" s="82" t="inlineStr">
        <is>
          <t>2024-05-02T10:53:30.836</t>
        </is>
      </c>
      <c r="AG52" s="100" t="n">
        <v>2.55</v>
      </c>
      <c r="AH52" s="442" t="n">
        <v>1.6</v>
      </c>
      <c r="AI52" s="98" t="n">
        <v>30</v>
      </c>
      <c r="AJ52" s="444" t="n">
        <v>0.43</v>
      </c>
      <c r="AK52" s="91" t="n">
        <v>0.019</v>
      </c>
      <c r="AL52" s="92" t="inlineStr">
        <is>
          <t>(1)</t>
        </is>
      </c>
      <c r="AM52" s="445" t="n">
        <v>0.38</v>
      </c>
      <c r="AN52" s="91" t="n">
        <v>0.005</v>
      </c>
      <c r="AO52" s="140" t="n">
        <v>205</v>
      </c>
      <c r="AP52" s="96" t="inlineStr">
        <is>
          <t>*</t>
        </is>
      </c>
      <c r="AQ52" s="97" t="inlineStr">
        <is>
          <t>*</t>
        </is>
      </c>
      <c r="AR52" s="97" t="inlineStr">
        <is>
          <t>*</t>
        </is>
      </c>
    </row>
    <row r="53" ht="20.25" customHeight="1">
      <c r="B53" s="76" t="n">
        <v>45</v>
      </c>
      <c r="C53" s="77" t="n">
        <v>692292.8860000001</v>
      </c>
      <c r="D53" s="139" t="n">
        <v>9136775.6675</v>
      </c>
      <c r="E53" s="83" t="inlineStr">
        <is>
          <t>CH-170A</t>
        </is>
      </c>
      <c r="F53" s="80" t="inlineStr">
        <is>
          <t>IRHS-13-02-03-458</t>
        </is>
      </c>
      <c r="G53" s="81" t="inlineStr">
        <is>
          <t>LA LIBERTAD</t>
        </is>
      </c>
      <c r="H53" s="81" t="inlineStr">
        <is>
          <t>ASCOPE</t>
        </is>
      </c>
      <c r="I53" s="81" t="inlineStr">
        <is>
          <t>CHOCOPE</t>
        </is>
      </c>
      <c r="J53" s="81" t="inlineStr">
        <is>
          <t>DERECHA</t>
        </is>
      </c>
      <c r="K53" s="81" t="n"/>
      <c r="L53" s="81" t="inlineStr">
        <is>
          <t>HUARMEY-CHICAMA</t>
        </is>
      </c>
      <c r="M53" s="81" t="inlineStr">
        <is>
          <t>CHICAMA</t>
        </is>
      </c>
      <c r="N53" s="81" t="inlineStr">
        <is>
          <t>Unidad Hidrografica 13773</t>
        </is>
      </c>
      <c r="O53" s="81" t="n"/>
      <c r="P53" s="81" t="n">
        <v>17</v>
      </c>
      <c r="Q53" s="81" t="n">
        <v>0</v>
      </c>
      <c r="R53" s="81" t="inlineStr">
        <is>
          <t>MONCADA CARRANZA ,SONIA MIRELLA Y OTRO</t>
        </is>
      </c>
      <c r="S53" s="82" t="inlineStr">
        <is>
          <t>TASE</t>
        </is>
      </c>
      <c r="T53" s="83" t="inlineStr">
        <is>
          <t>AGRÍCOLA</t>
        </is>
      </c>
      <c r="U53" s="84" t="n">
        <v>45414</v>
      </c>
      <c r="V53" s="83" t="n">
        <v>0</v>
      </c>
      <c r="W53" s="83" t="n">
        <v>0.63</v>
      </c>
      <c r="X53" s="83" t="n">
        <v>0.63</v>
      </c>
      <c r="Y53" s="76" t="n">
        <v>0</v>
      </c>
      <c r="Z53" s="443" t="n">
        <v>1414</v>
      </c>
      <c r="AA53" s="442" t="n">
        <v>7.36</v>
      </c>
      <c r="AB53" s="443" t="n">
        <v>717</v>
      </c>
      <c r="AC53" s="442" t="n">
        <v>24.2</v>
      </c>
      <c r="AD53" s="80" t="inlineStr">
        <is>
          <t>CAMBIO GEOMETRICO</t>
        </is>
      </c>
      <c r="AE53" s="81" t="inlineStr">
        <is>
          <t>VISITADO</t>
        </is>
      </c>
      <c r="AF53" s="82" t="inlineStr">
        <is>
          <t>2024-05-02T10:26:43.029</t>
        </is>
      </c>
      <c r="AG53" s="100" t="n">
        <v>4.13</v>
      </c>
      <c r="AH53" s="442" t="n">
        <v>1.1</v>
      </c>
      <c r="AI53" s="98" t="n">
        <v>15</v>
      </c>
      <c r="AJ53" s="444" t="n">
        <v>0.26</v>
      </c>
      <c r="AK53" s="91" t="n">
        <v>0.024</v>
      </c>
      <c r="AL53" s="92" t="inlineStr">
        <is>
          <t>(1)</t>
        </is>
      </c>
      <c r="AM53" s="445" t="n">
        <v>0.14</v>
      </c>
      <c r="AN53" s="91" t="n">
        <v>0.036</v>
      </c>
      <c r="AO53" s="140" t="n">
        <v>250</v>
      </c>
      <c r="AP53" s="96" t="inlineStr">
        <is>
          <t>*</t>
        </is>
      </c>
      <c r="AQ53" s="97" t="inlineStr">
        <is>
          <t>*</t>
        </is>
      </c>
      <c r="AR53" s="97" t="inlineStr">
        <is>
          <t>*</t>
        </is>
      </c>
    </row>
    <row r="54" ht="20.25" customHeight="1">
      <c r="B54" s="76" t="n">
        <v>46</v>
      </c>
      <c r="C54" s="77" t="n">
        <v>692433</v>
      </c>
      <c r="D54" s="139" t="n">
        <v>9135450</v>
      </c>
      <c r="E54" s="83" t="inlineStr">
        <is>
          <t>CH-57B</t>
        </is>
      </c>
      <c r="F54" s="80" t="inlineStr">
        <is>
          <t>IRHS-13-02-03-184</t>
        </is>
      </c>
      <c r="G54" s="81" t="inlineStr">
        <is>
          <t>LA LIBERTAD</t>
        </is>
      </c>
      <c r="H54" s="81" t="inlineStr">
        <is>
          <t>ASCOPE</t>
        </is>
      </c>
      <c r="I54" s="81" t="inlineStr">
        <is>
          <t>MAGDALENA DE CAO</t>
        </is>
      </c>
      <c r="J54" s="81" t="inlineStr">
        <is>
          <t>DERECHA</t>
        </is>
      </c>
      <c r="K54" s="81" t="n"/>
      <c r="L54" s="81" t="inlineStr">
        <is>
          <t>HUARMEY-CHICAMA</t>
        </is>
      </c>
      <c r="M54" s="81" t="inlineStr">
        <is>
          <t>CHICAMA</t>
        </is>
      </c>
      <c r="N54" s="81" t="inlineStr">
        <is>
          <t>Unidad Hidrografica 13773</t>
        </is>
      </c>
      <c r="O54" s="81" t="n">
        <v>41851</v>
      </c>
      <c r="P54" s="81" t="n">
        <v>17</v>
      </c>
      <c r="Q54" s="81" t="n">
        <v>0</v>
      </c>
      <c r="R54" s="81" t="inlineStr">
        <is>
          <t>LAURIANO MONCADA LINARES</t>
        </is>
      </c>
      <c r="S54" s="82" t="inlineStr">
        <is>
          <t>TASE</t>
        </is>
      </c>
      <c r="T54" s="83" t="inlineStr">
        <is>
          <t>AGRÍCOLA</t>
        </is>
      </c>
      <c r="U54" s="84" t="n">
        <v>45414</v>
      </c>
      <c r="V54" s="83" t="n">
        <v>0.35</v>
      </c>
      <c r="W54" s="83" t="n">
        <v>2.34</v>
      </c>
      <c r="X54" s="83" t="n">
        <v>1.99</v>
      </c>
      <c r="Y54" s="76" t="n">
        <v>0</v>
      </c>
      <c r="Z54" s="443" t="n">
        <v>1374</v>
      </c>
      <c r="AA54" s="442" t="n">
        <v>7.33</v>
      </c>
      <c r="AB54" s="443" t="n">
        <v>714</v>
      </c>
      <c r="AC54" s="442" t="n">
        <v>23</v>
      </c>
      <c r="AD54" s="80" t="n"/>
      <c r="AE54" s="81" t="inlineStr">
        <is>
          <t>VISITADO</t>
        </is>
      </c>
      <c r="AF54" s="82" t="inlineStr">
        <is>
          <t>2024-05-02T10:37:31.646</t>
        </is>
      </c>
      <c r="AG54" s="100" t="n">
        <v>2.72</v>
      </c>
      <c r="AH54" s="442" t="n">
        <v>0.7</v>
      </c>
      <c r="AI54" s="98" t="n">
        <v>11</v>
      </c>
      <c r="AJ54" s="444" t="n">
        <v>0.22</v>
      </c>
      <c r="AK54" s="91" t="n">
        <v>0.03</v>
      </c>
      <c r="AL54" s="92" t="inlineStr">
        <is>
          <t>(1)</t>
        </is>
      </c>
      <c r="AM54" s="445" t="n">
        <v>0.25</v>
      </c>
      <c r="AN54" s="91" t="n">
        <v>0.01</v>
      </c>
      <c r="AO54" s="140" t="n">
        <v>110</v>
      </c>
      <c r="AP54" s="96" t="inlineStr">
        <is>
          <t>*</t>
        </is>
      </c>
      <c r="AQ54" s="97" t="inlineStr">
        <is>
          <t>*</t>
        </is>
      </c>
      <c r="AR54" s="97" t="inlineStr">
        <is>
          <t>*</t>
        </is>
      </c>
    </row>
    <row r="55" ht="20.25" customHeight="1">
      <c r="B55" s="76" t="n">
        <v>47</v>
      </c>
      <c r="C55" s="77" t="n">
        <v>679566</v>
      </c>
      <c r="D55" s="139" t="n">
        <v>9145085</v>
      </c>
      <c r="E55" s="83" t="inlineStr">
        <is>
          <t>CH-252B</t>
        </is>
      </c>
      <c r="F55" s="80" t="n"/>
      <c r="G55" s="81" t="inlineStr">
        <is>
          <t>LA LIBERTAD</t>
        </is>
      </c>
      <c r="H55" s="81" t="inlineStr">
        <is>
          <t>ASCOPE</t>
        </is>
      </c>
      <c r="I55" s="81" t="inlineStr">
        <is>
          <t>RAZURI</t>
        </is>
      </c>
      <c r="J55" s="81" t="inlineStr">
        <is>
          <t>DERECHA</t>
        </is>
      </c>
      <c r="K55" s="81" t="n"/>
      <c r="L55" s="81" t="inlineStr">
        <is>
          <t>HUARMEY-CHICAMA</t>
        </is>
      </c>
      <c r="M55" s="81" t="inlineStr">
        <is>
          <t>CHICAMA</t>
        </is>
      </c>
      <c r="N55" s="81" t="inlineStr">
        <is>
          <t>Unidad Hidrografica 13773</t>
        </is>
      </c>
      <c r="O55" s="81" t="n"/>
      <c r="P55" s="81" t="n">
        <v>17</v>
      </c>
      <c r="Q55" s="81" t="n">
        <v>0</v>
      </c>
      <c r="R55" s="81" t="inlineStr">
        <is>
          <t>LINO CASTILLO, RICARDO OSWALDO</t>
        </is>
      </c>
      <c r="S55" s="82" t="inlineStr">
        <is>
          <t>TACE</t>
        </is>
      </c>
      <c r="T55" s="83" t="inlineStr">
        <is>
          <t>CONSUMO HUMANO</t>
        </is>
      </c>
      <c r="U55" s="84" t="n">
        <v>45422</v>
      </c>
      <c r="V55" s="83" t="n">
        <v>0</v>
      </c>
      <c r="W55" s="83" t="n">
        <v>2.12</v>
      </c>
      <c r="X55" s="83" t="n">
        <v>2.12</v>
      </c>
      <c r="Y55" s="76" t="n">
        <v>0</v>
      </c>
      <c r="Z55" s="441" t="n">
        <v>2199</v>
      </c>
      <c r="AA55" s="442" t="n">
        <v>7.48</v>
      </c>
      <c r="AB55" s="441" t="n">
        <v>1132</v>
      </c>
      <c r="AC55" s="442" t="n">
        <v>24.4</v>
      </c>
      <c r="AD55" s="80" t="n"/>
      <c r="AE55" s="81" t="inlineStr">
        <is>
          <t>VISITADO</t>
        </is>
      </c>
      <c r="AF55" s="82" t="inlineStr">
        <is>
          <t>2024-05-10T08:58:09.322</t>
        </is>
      </c>
      <c r="AG55" s="100" t="n">
        <v>0.6919999999999999</v>
      </c>
      <c r="AH55" s="442" t="n">
        <v>2.4</v>
      </c>
      <c r="AI55" s="89" t="n">
        <v>1</v>
      </c>
      <c r="AJ55" s="444" t="n">
        <v>2.11</v>
      </c>
      <c r="AK55" s="91" t="n">
        <v>0.058</v>
      </c>
      <c r="AL55" s="92" t="inlineStr">
        <is>
          <t>(1)</t>
        </is>
      </c>
      <c r="AM55" s="445" t="n">
        <v>0.25</v>
      </c>
      <c r="AN55" s="91" t="n">
        <v>0.126</v>
      </c>
      <c r="AO55" s="140">
        <f>35*5</f>
        <v/>
      </c>
      <c r="AP55" s="96" t="n"/>
      <c r="AQ55" s="97" t="n"/>
      <c r="AR55" s="97" t="n"/>
    </row>
    <row r="56" ht="20.25" customFormat="1" customHeight="1" s="54">
      <c r="B56" s="104" t="n">
        <v>48</v>
      </c>
      <c r="C56" s="105" t="n">
        <v>690334</v>
      </c>
      <c r="D56" s="138" t="n">
        <v>9135786</v>
      </c>
      <c r="E56" s="111" t="inlineStr">
        <is>
          <t>CH-153B</t>
        </is>
      </c>
      <c r="F56" s="108" t="n"/>
      <c r="G56" s="109" t="inlineStr">
        <is>
          <t>LA LIBERTAD</t>
        </is>
      </c>
      <c r="H56" s="109" t="inlineStr">
        <is>
          <t>ASCOPE</t>
        </is>
      </c>
      <c r="I56" s="109" t="inlineStr">
        <is>
          <t>MAGDALENA DE CAO</t>
        </is>
      </c>
      <c r="J56" s="109" t="inlineStr">
        <is>
          <t>DERECHA</t>
        </is>
      </c>
      <c r="K56" s="109" t="n"/>
      <c r="L56" s="109" t="inlineStr">
        <is>
          <t>HUARMEY-CHICAMA</t>
        </is>
      </c>
      <c r="M56" s="109" t="inlineStr">
        <is>
          <t>CHICAMA</t>
        </is>
      </c>
      <c r="N56" s="109" t="inlineStr">
        <is>
          <t>Unidad Hidrografica 13773</t>
        </is>
      </c>
      <c r="O56" s="109" t="n"/>
      <c r="P56" s="109" t="n">
        <v>17</v>
      </c>
      <c r="Q56" s="109" t="n">
        <v>0</v>
      </c>
      <c r="R56" s="109" t="n"/>
      <c r="S56" s="110" t="inlineStr">
        <is>
          <t>TASE</t>
        </is>
      </c>
      <c r="T56" s="111" t="inlineStr">
        <is>
          <t>CONSUMO HUMANO</t>
        </is>
      </c>
      <c r="U56" s="112" t="n">
        <v>45414</v>
      </c>
      <c r="V56" s="111" t="n">
        <v>0</v>
      </c>
      <c r="W56" s="111" t="n">
        <v>2.04</v>
      </c>
      <c r="X56" s="111" t="n">
        <v>2.04</v>
      </c>
      <c r="Y56" s="104" t="n">
        <v>0</v>
      </c>
      <c r="Z56" s="453" t="n">
        <v>768</v>
      </c>
      <c r="AA56" s="449" t="n">
        <v>7.73</v>
      </c>
      <c r="AB56" s="453" t="n">
        <v>390</v>
      </c>
      <c r="AC56" s="449" t="n">
        <v>23.2</v>
      </c>
      <c r="AD56" s="108" t="n"/>
      <c r="AE56" s="109" t="inlineStr">
        <is>
          <t>VISITADO</t>
        </is>
      </c>
      <c r="AF56" s="110" t="inlineStr">
        <is>
          <t>2024-05-02T08:43:09.175</t>
        </is>
      </c>
      <c r="AG56" s="127" t="n">
        <v>6.1</v>
      </c>
      <c r="AH56" s="449" t="n">
        <v>0.5</v>
      </c>
      <c r="AI56" s="129" t="n">
        <v>10</v>
      </c>
      <c r="AJ56" s="450" t="n">
        <v>0.38</v>
      </c>
      <c r="AK56" s="118" t="n">
        <v>0.025</v>
      </c>
      <c r="AL56" s="119" t="inlineStr">
        <is>
          <t>(1)</t>
        </is>
      </c>
      <c r="AM56" s="451" t="n">
        <v>0.12</v>
      </c>
      <c r="AN56" s="118" t="n">
        <v>0.045</v>
      </c>
      <c r="AO56" s="141" t="n">
        <v>190</v>
      </c>
      <c r="AP56" s="123" t="n">
        <v>100</v>
      </c>
      <c r="AQ56" s="124" t="n">
        <v>0</v>
      </c>
      <c r="AR56" s="124" t="n">
        <v>0</v>
      </c>
    </row>
    <row r="57" ht="20.25" customHeight="1">
      <c r="B57" s="76" t="n">
        <v>49</v>
      </c>
      <c r="C57" s="77" t="n">
        <v>687944</v>
      </c>
      <c r="D57" s="139" t="n">
        <v>9135276</v>
      </c>
      <c r="E57" s="83" t="inlineStr">
        <is>
          <t>CH-21B-1</t>
        </is>
      </c>
      <c r="F57" s="80" t="n"/>
      <c r="G57" s="81" t="inlineStr">
        <is>
          <t>LA LIBERTAD</t>
        </is>
      </c>
      <c r="H57" s="81" t="inlineStr">
        <is>
          <t>ASCOPE</t>
        </is>
      </c>
      <c r="I57" s="81" t="inlineStr">
        <is>
          <t>MAGDALENA DE CAO</t>
        </is>
      </c>
      <c r="J57" s="81" t="inlineStr">
        <is>
          <t>DERECHA</t>
        </is>
      </c>
      <c r="K57" s="81" t="n"/>
      <c r="L57" s="81" t="inlineStr">
        <is>
          <t>HUARMEY-CHICAMA</t>
        </is>
      </c>
      <c r="M57" s="81" t="inlineStr">
        <is>
          <t>CHICAMA</t>
        </is>
      </c>
      <c r="N57" s="81" t="inlineStr">
        <is>
          <t>Unidad Hidrografica 13773</t>
        </is>
      </c>
      <c r="O57" s="81" t="n"/>
      <c r="P57" s="81" t="n">
        <v>17</v>
      </c>
      <c r="Q57" s="81" t="n">
        <v>0</v>
      </c>
      <c r="R57" s="81" t="inlineStr">
        <is>
          <t>CORPORACION DEL SUR S.A., SUCURSAL PERU</t>
        </is>
      </c>
      <c r="S57" s="82" t="inlineStr">
        <is>
          <t>TSE</t>
        </is>
      </c>
      <c r="T57" s="83" t="inlineStr">
        <is>
          <t>AGRÍCOLA</t>
        </is>
      </c>
      <c r="U57" s="84" t="n">
        <v>45414</v>
      </c>
      <c r="V57" s="83" t="n">
        <v>0.1</v>
      </c>
      <c r="W57" s="83" t="n">
        <v>1</v>
      </c>
      <c r="X57" s="83" t="n">
        <v>0.9</v>
      </c>
      <c r="Y57" s="76" t="n">
        <v>0</v>
      </c>
      <c r="Z57" s="441" t="n">
        <v>1728</v>
      </c>
      <c r="AA57" s="442" t="n">
        <v>8.15</v>
      </c>
      <c r="AB57" s="443" t="n">
        <v>882</v>
      </c>
      <c r="AC57" s="442" t="n">
        <v>23.6</v>
      </c>
      <c r="AD57" s="80" t="n"/>
      <c r="AE57" s="81" t="inlineStr">
        <is>
          <t>VISITADO</t>
        </is>
      </c>
      <c r="AF57" s="82" t="inlineStr">
        <is>
          <t>2024-05-02T09:04:23.847</t>
        </is>
      </c>
      <c r="AG57" s="100" t="n">
        <v>2.33</v>
      </c>
      <c r="AH57" s="442" t="n">
        <v>0.4</v>
      </c>
      <c r="AI57" s="89" t="n">
        <v>9</v>
      </c>
      <c r="AJ57" s="444" t="n">
        <v>0.12</v>
      </c>
      <c r="AK57" s="91" t="n">
        <v>0.028</v>
      </c>
      <c r="AL57" s="92" t="inlineStr">
        <is>
          <t>(1)</t>
        </is>
      </c>
      <c r="AM57" s="445" t="n">
        <v>0.43</v>
      </c>
      <c r="AN57" s="444" t="n">
        <v>0.053</v>
      </c>
      <c r="AO57" s="140" t="n">
        <v>105</v>
      </c>
      <c r="AP57" s="96" t="inlineStr">
        <is>
          <t>*</t>
        </is>
      </c>
      <c r="AQ57" s="97" t="inlineStr">
        <is>
          <t>*</t>
        </is>
      </c>
      <c r="AR57" s="97" t="inlineStr">
        <is>
          <t>*</t>
        </is>
      </c>
    </row>
    <row r="58" ht="20.25" customFormat="1" customHeight="1" s="54">
      <c r="B58" s="104" t="n">
        <v>50</v>
      </c>
      <c r="C58" s="105" t="n">
        <v>687216.3014999999</v>
      </c>
      <c r="D58" s="138" t="n">
        <v>9133704.0393</v>
      </c>
      <c r="E58" s="111" t="inlineStr">
        <is>
          <t>CH-82A</t>
        </is>
      </c>
      <c r="F58" s="108" t="inlineStr">
        <is>
          <t>IRHS-13-02-04-15</t>
        </is>
      </c>
      <c r="G58" s="109" t="inlineStr">
        <is>
          <t>LA LIBERTAD</t>
        </is>
      </c>
      <c r="H58" s="109" t="inlineStr">
        <is>
          <t>ASCOPE</t>
        </is>
      </c>
      <c r="I58" s="109" t="inlineStr">
        <is>
          <t>MAGDALENA DE CAO</t>
        </is>
      </c>
      <c r="J58" s="109" t="inlineStr">
        <is>
          <t>DERECHA</t>
        </is>
      </c>
      <c r="K58" s="109" t="n"/>
      <c r="L58" s="109" t="inlineStr">
        <is>
          <t>HUARMEY-CHICAMA</t>
        </is>
      </c>
      <c r="M58" s="109" t="inlineStr">
        <is>
          <t>CHICAMA</t>
        </is>
      </c>
      <c r="N58" s="109" t="inlineStr">
        <is>
          <t>Intercuenca 13773</t>
        </is>
      </c>
      <c r="O58" s="109" t="n"/>
      <c r="P58" s="109" t="n">
        <v>17</v>
      </c>
      <c r="Q58" s="109" t="n">
        <v>0</v>
      </c>
      <c r="R58" s="109" t="inlineStr">
        <is>
          <t>PUEBLO LOS ANGELES</t>
        </is>
      </c>
      <c r="S58" s="110" t="n"/>
      <c r="T58" s="111" t="inlineStr">
        <is>
          <t>CONSUMO HUMANO</t>
        </is>
      </c>
      <c r="U58" s="112" t="n">
        <v>45412</v>
      </c>
      <c r="V58" s="111" t="n">
        <v>0</v>
      </c>
      <c r="W58" s="111" t="n">
        <v>1.11</v>
      </c>
      <c r="X58" s="111" t="n">
        <v>1.11</v>
      </c>
      <c r="Y58" s="104" t="n">
        <v>0</v>
      </c>
      <c r="Z58" s="453" t="n">
        <v>629</v>
      </c>
      <c r="AA58" s="449" t="n">
        <v>7.91</v>
      </c>
      <c r="AB58" s="453" t="n">
        <v>302</v>
      </c>
      <c r="AC58" s="449" t="n">
        <v>25.9</v>
      </c>
      <c r="AD58" s="108" t="inlineStr">
        <is>
          <t>POZO NUEVO MUESTRA 50</t>
        </is>
      </c>
      <c r="AE58" s="109" t="inlineStr">
        <is>
          <t>VISITADO</t>
        </is>
      </c>
      <c r="AF58" s="110" t="inlineStr">
        <is>
          <t>2024-04-30T12:16:34.889</t>
        </is>
      </c>
      <c r="AG58" s="127" t="n">
        <v>49.3</v>
      </c>
      <c r="AH58" s="449" t="n">
        <v>1.2</v>
      </c>
      <c r="AI58" s="126" t="n">
        <v>9</v>
      </c>
      <c r="AJ58" s="450" t="n">
        <v>0.18</v>
      </c>
      <c r="AK58" s="118" t="n">
        <v>0.035</v>
      </c>
      <c r="AL58" s="119" t="inlineStr">
        <is>
          <t>(1)</t>
        </is>
      </c>
      <c r="AM58" s="451" t="n">
        <v>0.27</v>
      </c>
      <c r="AN58" s="450" t="n">
        <v>0.193</v>
      </c>
      <c r="AO58" s="122" t="n">
        <v>260</v>
      </c>
      <c r="AP58" s="123" t="n">
        <v>50</v>
      </c>
      <c r="AQ58" s="124" t="n">
        <v>0</v>
      </c>
      <c r="AR58" s="124" t="n">
        <v>0</v>
      </c>
    </row>
    <row r="59" ht="20.25" customHeight="1">
      <c r="B59" s="76" t="n">
        <v>51</v>
      </c>
      <c r="C59" s="77" t="n">
        <v>689698</v>
      </c>
      <c r="D59" s="139" t="n">
        <v>9136242</v>
      </c>
      <c r="E59" s="83" t="inlineStr">
        <is>
          <t>CH-56A-1</t>
        </is>
      </c>
      <c r="F59" s="80" t="inlineStr">
        <is>
          <t>IRHS-13-02-04-198</t>
        </is>
      </c>
      <c r="G59" s="81" t="inlineStr">
        <is>
          <t>LA LIBERTAD</t>
        </is>
      </c>
      <c r="H59" s="81" t="inlineStr">
        <is>
          <t>ASCOPE</t>
        </is>
      </c>
      <c r="I59" s="81" t="inlineStr">
        <is>
          <t>MAGDALENA DE CAO</t>
        </is>
      </c>
      <c r="J59" s="81" t="inlineStr">
        <is>
          <t>DERECHA</t>
        </is>
      </c>
      <c r="K59" s="81" t="n"/>
      <c r="L59" s="81" t="inlineStr">
        <is>
          <t>HUARMEY-CHICAMA</t>
        </is>
      </c>
      <c r="M59" s="81" t="inlineStr">
        <is>
          <t>CHICAMA</t>
        </is>
      </c>
      <c r="N59" s="81" t="inlineStr">
        <is>
          <t>Unidad Hidrografica 13773</t>
        </is>
      </c>
      <c r="O59" s="81" t="n">
        <v>41927</v>
      </c>
      <c r="P59" s="81" t="n">
        <v>17</v>
      </c>
      <c r="Q59" s="81" t="n">
        <v>0</v>
      </c>
      <c r="R59" s="81" t="inlineStr">
        <is>
          <t>EMPRESA AGRICOLA GANADERA, SALAMANCA</t>
        </is>
      </c>
      <c r="S59" s="82" t="inlineStr">
        <is>
          <t>TSE</t>
        </is>
      </c>
      <c r="T59" s="83" t="inlineStr">
        <is>
          <t>AGRÍCOLA</t>
        </is>
      </c>
      <c r="U59" s="84" t="n">
        <v>45414</v>
      </c>
      <c r="V59" s="83" t="n">
        <v>0.3</v>
      </c>
      <c r="W59" s="83" t="n">
        <v>0.52</v>
      </c>
      <c r="X59" s="83" t="n">
        <v>0.22</v>
      </c>
      <c r="Y59" s="76" t="n">
        <v>0</v>
      </c>
      <c r="Z59" s="441" t="n">
        <v>1601</v>
      </c>
      <c r="AA59" s="442" t="n">
        <v>7.49</v>
      </c>
      <c r="AB59" s="443" t="n">
        <v>825</v>
      </c>
      <c r="AC59" s="442" t="n">
        <v>23.4</v>
      </c>
      <c r="AD59" s="80" t="n"/>
      <c r="AE59" s="81" t="inlineStr">
        <is>
          <t>VISITADO</t>
        </is>
      </c>
      <c r="AF59" s="82" t="inlineStr">
        <is>
          <t>2024-05-02T08:49:02.516</t>
        </is>
      </c>
      <c r="AG59" s="88" t="n">
        <v>7.39</v>
      </c>
      <c r="AH59" s="442" t="n">
        <v>0.6</v>
      </c>
      <c r="AI59" s="102" t="n">
        <v>10</v>
      </c>
      <c r="AJ59" s="444" t="n">
        <v>0.08</v>
      </c>
      <c r="AK59" s="91" t="n">
        <v>0.018</v>
      </c>
      <c r="AL59" s="92" t="inlineStr">
        <is>
          <t>(1)</t>
        </is>
      </c>
      <c r="AM59" s="445" t="n">
        <v>0.36</v>
      </c>
      <c r="AN59" s="444" t="n">
        <v>0.09</v>
      </c>
      <c r="AO59" s="99" t="n">
        <v>290</v>
      </c>
      <c r="AP59" s="96" t="inlineStr">
        <is>
          <t>*</t>
        </is>
      </c>
      <c r="AQ59" s="97" t="inlineStr">
        <is>
          <t>*</t>
        </is>
      </c>
      <c r="AR59" s="97" t="inlineStr">
        <is>
          <t>*</t>
        </is>
      </c>
    </row>
    <row r="60" ht="20.25" customHeight="1">
      <c r="B60" s="76" t="n">
        <v>52</v>
      </c>
      <c r="C60" s="77" t="n">
        <v>689725</v>
      </c>
      <c r="D60" s="139" t="n">
        <v>9138394</v>
      </c>
      <c r="E60" s="83" t="inlineStr">
        <is>
          <t>CH-182A</t>
        </is>
      </c>
      <c r="F60" s="80" t="inlineStr">
        <is>
          <t>IRHS-13-02-03-481</t>
        </is>
      </c>
      <c r="G60" s="81" t="inlineStr">
        <is>
          <t>LA LIBERTAD</t>
        </is>
      </c>
      <c r="H60" s="81" t="inlineStr">
        <is>
          <t>ASCOPE</t>
        </is>
      </c>
      <c r="I60" s="81" t="inlineStr">
        <is>
          <t>CHOCOPE</t>
        </is>
      </c>
      <c r="J60" s="81" t="inlineStr">
        <is>
          <t>DERECHA</t>
        </is>
      </c>
      <c r="K60" s="81" t="n"/>
      <c r="L60" s="81" t="inlineStr">
        <is>
          <t>HUARMEY-CHICAMA</t>
        </is>
      </c>
      <c r="M60" s="81" t="inlineStr">
        <is>
          <t>CHICAMA</t>
        </is>
      </c>
      <c r="N60" s="81" t="inlineStr">
        <is>
          <t>Unidad Hidrografica 13773</t>
        </is>
      </c>
      <c r="O60" s="81" t="n"/>
      <c r="P60" s="81" t="n">
        <v>17</v>
      </c>
      <c r="Q60" s="81" t="n">
        <v>0</v>
      </c>
      <c r="R60" s="81" t="inlineStr">
        <is>
          <t>LINARES POLO, SEVERIANO PEDRO</t>
        </is>
      </c>
      <c r="S60" s="82" t="inlineStr">
        <is>
          <t>TACE</t>
        </is>
      </c>
      <c r="T60" s="83" t="inlineStr">
        <is>
          <t>AGRICOLA</t>
        </is>
      </c>
      <c r="U60" s="84" t="n">
        <v>45414</v>
      </c>
      <c r="V60" s="83" t="n">
        <v>0</v>
      </c>
      <c r="W60" s="83" t="n">
        <v>1.14</v>
      </c>
      <c r="X60" s="83" t="n">
        <v>1.14</v>
      </c>
      <c r="Y60" s="76" t="n">
        <v>0</v>
      </c>
      <c r="Z60" s="441" t="n">
        <v>1655</v>
      </c>
      <c r="AA60" s="442" t="n">
        <v>7.68</v>
      </c>
      <c r="AB60" s="443" t="n">
        <v>843</v>
      </c>
      <c r="AC60" s="442" t="n">
        <v>24</v>
      </c>
      <c r="AD60" s="80" t="n"/>
      <c r="AE60" s="81" t="inlineStr">
        <is>
          <t>VISITADO</t>
        </is>
      </c>
      <c r="AF60" s="82" t="inlineStr">
        <is>
          <t>2024-05-02T11:57:25.584</t>
        </is>
      </c>
      <c r="AG60" s="100" t="n">
        <v>1.85</v>
      </c>
      <c r="AH60" s="442" t="n">
        <v>0.5</v>
      </c>
      <c r="AI60" s="89" t="n">
        <v>9</v>
      </c>
      <c r="AJ60" s="444" t="n">
        <v>0.31</v>
      </c>
      <c r="AK60" s="103" t="n">
        <v>0.057</v>
      </c>
      <c r="AL60" s="92" t="inlineStr">
        <is>
          <t>(1)</t>
        </is>
      </c>
      <c r="AM60" s="445" t="n">
        <v>0.18</v>
      </c>
      <c r="AN60" s="91" t="n">
        <v>0.01</v>
      </c>
      <c r="AO60" s="140" t="n">
        <v>220</v>
      </c>
      <c r="AP60" s="96" t="inlineStr">
        <is>
          <t>*</t>
        </is>
      </c>
      <c r="AQ60" s="97" t="inlineStr">
        <is>
          <t>*</t>
        </is>
      </c>
      <c r="AR60" s="97" t="inlineStr">
        <is>
          <t>*</t>
        </is>
      </c>
    </row>
    <row r="61" ht="20.25" customHeight="1">
      <c r="B61" s="76" t="n">
        <v>53</v>
      </c>
      <c r="C61" s="77" t="n">
        <v>691457</v>
      </c>
      <c r="D61" s="139" t="n">
        <v>9139075</v>
      </c>
      <c r="E61" s="83" t="inlineStr">
        <is>
          <t>CH-76A</t>
        </is>
      </c>
      <c r="F61" s="80" t="inlineStr">
        <is>
          <t>IRHS-13-02-03-102</t>
        </is>
      </c>
      <c r="G61" s="81" t="inlineStr">
        <is>
          <t>LA LIBERTAD</t>
        </is>
      </c>
      <c r="H61" s="81" t="inlineStr">
        <is>
          <t>ASCOPE</t>
        </is>
      </c>
      <c r="I61" s="81" t="inlineStr">
        <is>
          <t>CHOCOPE</t>
        </is>
      </c>
      <c r="J61" s="81" t="inlineStr">
        <is>
          <t>DERECHA</t>
        </is>
      </c>
      <c r="K61" s="81" t="n"/>
      <c r="L61" s="81" t="inlineStr">
        <is>
          <t>HUARMEY-CHICAMA</t>
        </is>
      </c>
      <c r="M61" s="81" t="inlineStr">
        <is>
          <t>CHICAMA</t>
        </is>
      </c>
      <c r="N61" s="81" t="inlineStr">
        <is>
          <t>Unidad Hidrografica 13773</t>
        </is>
      </c>
      <c r="O61" s="81" t="n">
        <v>41844</v>
      </c>
      <c r="P61" s="81" t="n">
        <v>17</v>
      </c>
      <c r="Q61" s="81" t="n">
        <v>0</v>
      </c>
      <c r="R61" s="81" t="inlineStr">
        <is>
          <t>ELSA C. GUERRERO DE JULCA</t>
        </is>
      </c>
      <c r="S61" s="82" t="inlineStr">
        <is>
          <t>TASE</t>
        </is>
      </c>
      <c r="T61" s="83" t="inlineStr">
        <is>
          <t>AGRICOLA</t>
        </is>
      </c>
      <c r="U61" s="84" t="n">
        <v>45414</v>
      </c>
      <c r="V61" s="83" t="n">
        <v>0.25</v>
      </c>
      <c r="W61" s="83" t="n">
        <v>0.75</v>
      </c>
      <c r="X61" s="83" t="n">
        <v>0.5</v>
      </c>
      <c r="Y61" s="76" t="n">
        <v>0</v>
      </c>
      <c r="Z61" s="443" t="n">
        <v>1181</v>
      </c>
      <c r="AA61" s="442" t="n">
        <v>7.22</v>
      </c>
      <c r="AB61" s="443" t="n">
        <v>606</v>
      </c>
      <c r="AC61" s="442" t="n">
        <v>23.6</v>
      </c>
      <c r="AD61" s="80" t="n"/>
      <c r="AE61" s="81" t="inlineStr">
        <is>
          <t>VISITADO</t>
        </is>
      </c>
      <c r="AF61" s="82" t="inlineStr">
        <is>
          <t>2024-05-02T11:14:04.155</t>
        </is>
      </c>
      <c r="AG61" s="88" t="n">
        <v>14</v>
      </c>
      <c r="AH61" s="442" t="n">
        <v>0.6</v>
      </c>
      <c r="AI61" s="89" t="n">
        <v>9</v>
      </c>
      <c r="AJ61" s="444" t="n">
        <v>0.14</v>
      </c>
      <c r="AK61" s="91" t="n">
        <v>0.022</v>
      </c>
      <c r="AL61" s="92" t="inlineStr">
        <is>
          <t>(1)</t>
        </is>
      </c>
      <c r="AM61" s="445" t="n">
        <v>0.23</v>
      </c>
      <c r="AN61" s="444" t="n">
        <v>0.14</v>
      </c>
      <c r="AO61" s="140" t="n">
        <v>195</v>
      </c>
      <c r="AP61" s="96" t="inlineStr">
        <is>
          <t>*</t>
        </is>
      </c>
      <c r="AQ61" s="97" t="inlineStr">
        <is>
          <t>*</t>
        </is>
      </c>
      <c r="AR61" s="97" t="inlineStr">
        <is>
          <t>*</t>
        </is>
      </c>
    </row>
    <row r="62" ht="20.25" customHeight="1">
      <c r="B62" s="76" t="n">
        <v>54</v>
      </c>
      <c r="C62" s="77" t="n">
        <v>690711</v>
      </c>
      <c r="D62" s="139" t="n">
        <v>9140099</v>
      </c>
      <c r="E62" s="83" t="inlineStr">
        <is>
          <t>CH-167A-1</t>
        </is>
      </c>
      <c r="F62" s="80" t="n"/>
      <c r="G62" s="81" t="inlineStr">
        <is>
          <t>LA LIBERTAD</t>
        </is>
      </c>
      <c r="H62" s="81" t="inlineStr">
        <is>
          <t>ASCOPE</t>
        </is>
      </c>
      <c r="I62" s="81" t="inlineStr">
        <is>
          <t>CHOCOPE</t>
        </is>
      </c>
      <c r="J62" s="81" t="inlineStr">
        <is>
          <t>DERECHA</t>
        </is>
      </c>
      <c r="K62" s="81" t="n"/>
      <c r="L62" s="81" t="inlineStr">
        <is>
          <t>HUARMEY-CHICAMA</t>
        </is>
      </c>
      <c r="M62" s="81" t="inlineStr">
        <is>
          <t>CHICAMA</t>
        </is>
      </c>
      <c r="N62" s="81" t="inlineStr">
        <is>
          <t>Unidad Hidrografica 13773</t>
        </is>
      </c>
      <c r="O62" s="81" t="n"/>
      <c r="P62" s="81" t="n">
        <v>17</v>
      </c>
      <c r="Q62" s="81" t="n">
        <v>0</v>
      </c>
      <c r="R62" s="81" t="inlineStr">
        <is>
          <t>MONZON VASQUEZ, TEOFILO</t>
        </is>
      </c>
      <c r="S62" s="82" t="inlineStr">
        <is>
          <t>TASE</t>
        </is>
      </c>
      <c r="T62" s="83" t="inlineStr">
        <is>
          <t>AGRICOLA</t>
        </is>
      </c>
      <c r="U62" s="84" t="n">
        <v>45414</v>
      </c>
      <c r="V62" s="83" t="n">
        <v>0.2</v>
      </c>
      <c r="W62" s="83" t="n">
        <v>0.79</v>
      </c>
      <c r="X62" s="83" t="n">
        <v>0.59</v>
      </c>
      <c r="Y62" s="76" t="n">
        <v>0</v>
      </c>
      <c r="Z62" s="443" t="n">
        <v>1339</v>
      </c>
      <c r="AA62" s="442" t="n">
        <v>7.26</v>
      </c>
      <c r="AB62" s="443" t="n">
        <v>679</v>
      </c>
      <c r="AC62" s="442" t="n">
        <v>24.2</v>
      </c>
      <c r="AD62" s="80" t="n"/>
      <c r="AE62" s="81" t="inlineStr">
        <is>
          <t>VISITADO</t>
        </is>
      </c>
      <c r="AF62" s="82" t="inlineStr">
        <is>
          <t>2024-05-02T11:23:33.237</t>
        </is>
      </c>
      <c r="AG62" s="100" t="n">
        <v>10</v>
      </c>
      <c r="AH62" s="442" t="n">
        <v>0.6</v>
      </c>
      <c r="AI62" s="89" t="n">
        <v>7</v>
      </c>
      <c r="AJ62" s="444" t="n">
        <v>0.13</v>
      </c>
      <c r="AK62" s="91" t="n">
        <v>0.034</v>
      </c>
      <c r="AL62" s="92" t="inlineStr">
        <is>
          <t>(1)</t>
        </is>
      </c>
      <c r="AM62" s="445" t="n">
        <v>0.24</v>
      </c>
      <c r="AN62" s="91" t="n">
        <v>0.012</v>
      </c>
      <c r="AO62" s="140">
        <f>30*5</f>
        <v/>
      </c>
      <c r="AP62" s="96" t="inlineStr">
        <is>
          <t>*</t>
        </is>
      </c>
      <c r="AQ62" s="97" t="inlineStr">
        <is>
          <t>*</t>
        </is>
      </c>
      <c r="AR62" s="97" t="inlineStr">
        <is>
          <t>*</t>
        </is>
      </c>
    </row>
    <row r="63" ht="20.25" customHeight="1">
      <c r="B63" s="76" t="n">
        <v>55</v>
      </c>
      <c r="C63" s="77" t="n">
        <v>692169</v>
      </c>
      <c r="D63" s="139" t="n">
        <v>9140778</v>
      </c>
      <c r="E63" s="83" t="inlineStr">
        <is>
          <t>CH-175B</t>
        </is>
      </c>
      <c r="F63" s="80" t="inlineStr">
        <is>
          <t>IRHS-13-02-03-282</t>
        </is>
      </c>
      <c r="G63" s="81" t="inlineStr">
        <is>
          <t>LA LIBERTAD</t>
        </is>
      </c>
      <c r="H63" s="81" t="inlineStr">
        <is>
          <t>ASCOPE</t>
        </is>
      </c>
      <c r="I63" s="81" t="inlineStr">
        <is>
          <t>CHOCOPE</t>
        </is>
      </c>
      <c r="J63" s="81" t="inlineStr">
        <is>
          <t>DERECHA</t>
        </is>
      </c>
      <c r="K63" s="81" t="n"/>
      <c r="L63" s="81" t="inlineStr">
        <is>
          <t>HUARMEY-CHICAMA</t>
        </is>
      </c>
      <c r="M63" s="81" t="inlineStr">
        <is>
          <t>CHICAMA</t>
        </is>
      </c>
      <c r="N63" s="81" t="inlineStr">
        <is>
          <t>Unidad Hidrografica 13773</t>
        </is>
      </c>
      <c r="O63" s="81" t="n">
        <v>41816</v>
      </c>
      <c r="P63" s="81" t="n">
        <v>17</v>
      </c>
      <c r="Q63" s="81" t="n">
        <v>0</v>
      </c>
      <c r="R63" s="81" t="inlineStr">
        <is>
          <t>EMPRESA AGROINDUSTRIAL, CASA GRANDE S.A-5 CERRO PRIETO</t>
        </is>
      </c>
      <c r="S63" s="82" t="inlineStr">
        <is>
          <t>TSE</t>
        </is>
      </c>
      <c r="T63" s="83" t="inlineStr">
        <is>
          <t>AGRICOLA</t>
        </is>
      </c>
      <c r="U63" s="84" t="n">
        <v>45418</v>
      </c>
      <c r="V63" s="83" t="n">
        <v>0.4</v>
      </c>
      <c r="W63" s="83" t="n">
        <v>2.6</v>
      </c>
      <c r="X63" s="83" t="n">
        <v>2.2</v>
      </c>
      <c r="Y63" s="76" t="n">
        <v>0</v>
      </c>
      <c r="Z63" s="443" t="n">
        <v>500</v>
      </c>
      <c r="AA63" s="442" t="n">
        <v>8.06</v>
      </c>
      <c r="AB63" s="443" t="n">
        <v>249</v>
      </c>
      <c r="AC63" s="442" t="n">
        <v>23.7</v>
      </c>
      <c r="AD63" s="80" t="n"/>
      <c r="AE63" s="81" t="inlineStr">
        <is>
          <t>VISITADO</t>
        </is>
      </c>
      <c r="AF63" s="82" t="inlineStr">
        <is>
          <t>2024-05-06T08:34:50.783</t>
        </is>
      </c>
      <c r="AG63" s="100" t="n">
        <v>0.892</v>
      </c>
      <c r="AH63" s="442" t="n">
        <v>0.8</v>
      </c>
      <c r="AI63" s="89" t="n">
        <v>10</v>
      </c>
      <c r="AJ63" s="444" t="n">
        <v>1.69</v>
      </c>
      <c r="AK63" s="91" t="n">
        <v>0.031</v>
      </c>
      <c r="AL63" s="92" t="inlineStr">
        <is>
          <t>(1)</t>
        </is>
      </c>
      <c r="AM63" s="445" t="n">
        <v>0.2</v>
      </c>
      <c r="AN63" s="444" t="n">
        <v>0.153</v>
      </c>
      <c r="AO63" s="140">
        <f>40*5</f>
        <v/>
      </c>
      <c r="AP63" s="96" t="inlineStr">
        <is>
          <t>*</t>
        </is>
      </c>
      <c r="AQ63" s="97" t="inlineStr">
        <is>
          <t>*</t>
        </is>
      </c>
      <c r="AR63" s="97" t="inlineStr">
        <is>
          <t>*</t>
        </is>
      </c>
    </row>
    <row r="64" ht="20.25" customFormat="1" customHeight="1" s="54">
      <c r="B64" s="104" t="n">
        <v>56</v>
      </c>
      <c r="C64" s="105" t="n">
        <v>701684</v>
      </c>
      <c r="D64" s="138" t="n">
        <v>9135034</v>
      </c>
      <c r="E64" s="111" t="inlineStr">
        <is>
          <t>CH-149A</t>
        </is>
      </c>
      <c r="F64" s="108" t="n"/>
      <c r="G64" s="109" t="inlineStr">
        <is>
          <t>LA LIBERTAD</t>
        </is>
      </c>
      <c r="H64" s="109" t="inlineStr">
        <is>
          <t>ASCOPE</t>
        </is>
      </c>
      <c r="I64" s="109" t="inlineStr">
        <is>
          <t>CHICAMA</t>
        </is>
      </c>
      <c r="J64" s="109" t="inlineStr">
        <is>
          <t>IZQUIERDA</t>
        </is>
      </c>
      <c r="K64" s="109" t="n"/>
      <c r="L64" s="109" t="inlineStr">
        <is>
          <t>HUARMEY-CHICAMA</t>
        </is>
      </c>
      <c r="M64" s="109" t="inlineStr">
        <is>
          <t>CHICAMA</t>
        </is>
      </c>
      <c r="N64" s="109" t="inlineStr">
        <is>
          <t>Intercuenca Chicama 137721</t>
        </is>
      </c>
      <c r="O64" s="109" t="n"/>
      <c r="P64" s="109" t="n">
        <v>17</v>
      </c>
      <c r="Q64" s="109" t="n">
        <v>0</v>
      </c>
      <c r="R64" s="109" t="inlineStr">
        <is>
          <t>CUEVA GAMBINI, EDWIN DANIEL</t>
        </is>
      </c>
      <c r="S64" s="110" t="inlineStr">
        <is>
          <t>TASE</t>
        </is>
      </c>
      <c r="T64" s="111" t="inlineStr">
        <is>
          <t>CONSUMO HUMANO Y ANIMALES</t>
        </is>
      </c>
      <c r="U64" s="112" t="n">
        <v>45426</v>
      </c>
      <c r="V64" s="111" t="n">
        <v>0.35</v>
      </c>
      <c r="W64" s="111" t="n">
        <v>7.68</v>
      </c>
      <c r="X64" s="111" t="n">
        <v>7.33</v>
      </c>
      <c r="Y64" s="104" t="n">
        <v>0</v>
      </c>
      <c r="Z64" s="453" t="n">
        <v>1105</v>
      </c>
      <c r="AA64" s="449" t="n">
        <v>7.39</v>
      </c>
      <c r="AB64" s="453" t="n">
        <v>494</v>
      </c>
      <c r="AC64" s="449" t="n">
        <v>29.9</v>
      </c>
      <c r="AD64" s="108" t="n"/>
      <c r="AE64" s="109" t="inlineStr">
        <is>
          <t>VISITADO</t>
        </is>
      </c>
      <c r="AF64" s="110" t="inlineStr">
        <is>
          <t>2024-05-14T13:30:00.983</t>
        </is>
      </c>
      <c r="AG64" s="115" t="n">
        <v>0.715</v>
      </c>
      <c r="AH64" s="449" t="n">
        <v>0.8</v>
      </c>
      <c r="AI64" s="126" t="n">
        <v>7</v>
      </c>
      <c r="AJ64" s="450" t="n">
        <v>0.61</v>
      </c>
      <c r="AK64" s="118" t="n">
        <v>0.028</v>
      </c>
      <c r="AL64" s="119" t="inlineStr">
        <is>
          <t>(1)</t>
        </is>
      </c>
      <c r="AM64" s="451" t="n">
        <v>0.19</v>
      </c>
      <c r="AN64" s="450" t="n">
        <v>0.08699999999999999</v>
      </c>
      <c r="AO64" s="141">
        <f>35*5</f>
        <v/>
      </c>
      <c r="AP64" s="123" t="n">
        <v>80</v>
      </c>
      <c r="AQ64" s="124" t="n">
        <v>0</v>
      </c>
      <c r="AR64" s="124" t="n">
        <v>0</v>
      </c>
    </row>
    <row r="65" ht="20.25" customHeight="1">
      <c r="B65" s="76" t="n">
        <v>57</v>
      </c>
      <c r="C65" s="77" t="n">
        <v>704768</v>
      </c>
      <c r="D65" s="139" t="n">
        <v>9135811</v>
      </c>
      <c r="E65" s="83" t="inlineStr">
        <is>
          <t>CH-301B</t>
        </is>
      </c>
      <c r="F65" s="80" t="n"/>
      <c r="G65" s="81" t="inlineStr">
        <is>
          <t>LA LIBERTAD</t>
        </is>
      </c>
      <c r="H65" s="81" t="inlineStr">
        <is>
          <t>ASCOPE</t>
        </is>
      </c>
      <c r="I65" s="81" t="inlineStr">
        <is>
          <t>CHICAMA</t>
        </is>
      </c>
      <c r="J65" s="81" t="inlineStr">
        <is>
          <t>IZQUIERDA</t>
        </is>
      </c>
      <c r="K65" s="81" t="n"/>
      <c r="L65" s="81" t="inlineStr">
        <is>
          <t>HUARMEY-CHICAMA</t>
        </is>
      </c>
      <c r="M65" s="81" t="inlineStr">
        <is>
          <t>CHICAMA</t>
        </is>
      </c>
      <c r="N65" s="81" t="inlineStr">
        <is>
          <t>Intercuenca Chicama 137721</t>
        </is>
      </c>
      <c r="O65" s="81" t="inlineStr">
        <is>
          <t>1899-12-30</t>
        </is>
      </c>
      <c r="P65" s="81" t="n">
        <v>17</v>
      </c>
      <c r="Q65" s="81" t="n">
        <v>0</v>
      </c>
      <c r="R65" s="81" t="inlineStr">
        <is>
          <t>EMP.AGRO INDUSTRIAL, CASA GRANDE S.A.</t>
        </is>
      </c>
      <c r="S65" s="82" t="inlineStr">
        <is>
          <t>TSE</t>
        </is>
      </c>
      <c r="T65" s="83" t="inlineStr">
        <is>
          <t>AGRICOLA</t>
        </is>
      </c>
      <c r="U65" s="84" t="n">
        <v>45426</v>
      </c>
      <c r="V65" s="83" t="n">
        <v>0.2</v>
      </c>
      <c r="W65" s="83" t="n">
        <v>0</v>
      </c>
      <c r="X65" s="83" t="n">
        <v>-0.2</v>
      </c>
      <c r="Y65" s="76" t="n">
        <v>0</v>
      </c>
      <c r="Z65" s="458" t="n"/>
      <c r="AA65" s="458" t="inlineStr">
        <is>
          <t>-</t>
        </is>
      </c>
      <c r="AB65" s="144" t="n"/>
      <c r="AC65" s="442" t="n"/>
      <c r="AD65" s="80" t="inlineStr">
        <is>
          <t>SIN AGUA - SECO</t>
        </is>
      </c>
      <c r="AE65" s="81" t="inlineStr">
        <is>
          <t>VISITADO</t>
        </is>
      </c>
      <c r="AF65" s="82" t="inlineStr">
        <is>
          <t>2024-05-14T13:09:09.626</t>
        </is>
      </c>
      <c r="AG65" s="147" t="n"/>
      <c r="AH65" s="92" t="n"/>
      <c r="AI65" s="147" t="n"/>
      <c r="AJ65" s="459" t="n"/>
      <c r="AK65" s="144" t="n"/>
      <c r="AL65" s="92" t="n"/>
      <c r="AM65" s="149" t="n"/>
      <c r="AN65" s="144" t="n"/>
      <c r="AO65" s="143" t="n"/>
      <c r="AP65" s="150" t="n"/>
      <c r="AQ65" s="143" t="n"/>
      <c r="AR65" s="143" t="n"/>
    </row>
    <row r="66" ht="20.25" customHeight="1">
      <c r="B66" s="76" t="n">
        <v>58</v>
      </c>
      <c r="C66" s="77" t="n">
        <v>705487</v>
      </c>
      <c r="D66" s="139" t="n">
        <v>9138846</v>
      </c>
      <c r="E66" s="83" t="inlineStr">
        <is>
          <t>CH-303A</t>
        </is>
      </c>
      <c r="F66" s="80" t="inlineStr">
        <is>
          <t>IRHS-13-02-02-391</t>
        </is>
      </c>
      <c r="G66" s="81" t="inlineStr">
        <is>
          <t>LA LIBERTAD</t>
        </is>
      </c>
      <c r="H66" s="81" t="inlineStr">
        <is>
          <t>ASCOPE</t>
        </is>
      </c>
      <c r="I66" s="81" t="inlineStr">
        <is>
          <t>CHICAMA</t>
        </is>
      </c>
      <c r="J66" s="81" t="inlineStr">
        <is>
          <t>IZQUIERDA</t>
        </is>
      </c>
      <c r="K66" s="81" t="n"/>
      <c r="L66" s="81" t="inlineStr">
        <is>
          <t>HUARMEY-CHICAMA</t>
        </is>
      </c>
      <c r="M66" s="81" t="inlineStr">
        <is>
          <t>CHICAMA</t>
        </is>
      </c>
      <c r="N66" s="81" t="inlineStr">
        <is>
          <t>Intercuenca Chicama 137721</t>
        </is>
      </c>
      <c r="O66" s="81" t="inlineStr">
        <is>
          <t>1899-12-30</t>
        </is>
      </c>
      <c r="P66" s="81" t="n">
        <v>17</v>
      </c>
      <c r="Q66" s="81" t="n">
        <v>0</v>
      </c>
      <c r="R66" s="81" t="inlineStr">
        <is>
          <t>EMP.AGRO INDUSTRIAL, CASA GRANDE S.A.</t>
        </is>
      </c>
      <c r="S66" s="82" t="inlineStr">
        <is>
          <t>TSE</t>
        </is>
      </c>
      <c r="T66" s="83" t="inlineStr">
        <is>
          <t>AGRICOLA</t>
        </is>
      </c>
      <c r="U66" s="84" t="n">
        <v>45426</v>
      </c>
      <c r="V66" s="83" t="n">
        <v>0.3</v>
      </c>
      <c r="W66" s="83" t="n">
        <v>9.49</v>
      </c>
      <c r="X66" s="83" t="n">
        <v>9.19</v>
      </c>
      <c r="Y66" s="76" t="n">
        <v>0</v>
      </c>
      <c r="Z66" s="443" t="n">
        <v>676</v>
      </c>
      <c r="AA66" s="442" t="n">
        <v>7.95</v>
      </c>
      <c r="AB66" s="443" t="n">
        <v>321</v>
      </c>
      <c r="AC66" s="442" t="n">
        <v>26.4</v>
      </c>
      <c r="AD66" s="80" t="n"/>
      <c r="AE66" s="81" t="inlineStr">
        <is>
          <t>VISITADO</t>
        </is>
      </c>
      <c r="AF66" s="82" t="inlineStr">
        <is>
          <t>2024-05-14T12:54:13.204</t>
        </is>
      </c>
      <c r="AG66" s="88" t="n">
        <v>17</v>
      </c>
      <c r="AH66" s="442" t="n">
        <v>0.7</v>
      </c>
      <c r="AI66" s="89" t="n">
        <v>4</v>
      </c>
      <c r="AJ66" s="444" t="n">
        <v>1.06</v>
      </c>
      <c r="AK66" s="91" t="n">
        <v>0.018</v>
      </c>
      <c r="AL66" s="92" t="inlineStr">
        <is>
          <t>(1)</t>
        </is>
      </c>
      <c r="AM66" s="445" t="n">
        <v>0.24</v>
      </c>
      <c r="AN66" s="444" t="n">
        <v>0.105</v>
      </c>
      <c r="AO66" s="140">
        <f>42*5</f>
        <v/>
      </c>
      <c r="AP66" s="96" t="inlineStr">
        <is>
          <t>*</t>
        </is>
      </c>
      <c r="AQ66" s="97" t="inlineStr">
        <is>
          <t>*</t>
        </is>
      </c>
      <c r="AR66" s="97" t="inlineStr">
        <is>
          <t>*</t>
        </is>
      </c>
    </row>
    <row r="67" ht="20.25" customFormat="1" customHeight="1" s="54">
      <c r="B67" s="104" t="n">
        <v>59</v>
      </c>
      <c r="C67" s="105" t="n">
        <v>705326</v>
      </c>
      <c r="D67" s="138" t="n">
        <v>9140080</v>
      </c>
      <c r="E67" s="111" t="inlineStr">
        <is>
          <t>CH-15A</t>
        </is>
      </c>
      <c r="F67" s="108" t="n"/>
      <c r="G67" s="109" t="inlineStr">
        <is>
          <t>LA LIBERTAD</t>
        </is>
      </c>
      <c r="H67" s="109" t="inlineStr">
        <is>
          <t>ASCOPE</t>
        </is>
      </c>
      <c r="I67" s="109" t="inlineStr">
        <is>
          <t>CHICAMA</t>
        </is>
      </c>
      <c r="J67" s="109" t="inlineStr">
        <is>
          <t>IZQUIERDA</t>
        </is>
      </c>
      <c r="K67" s="109" t="n"/>
      <c r="L67" s="109" t="inlineStr">
        <is>
          <t>HUARMEY-CHICAMA</t>
        </is>
      </c>
      <c r="M67" s="109" t="inlineStr">
        <is>
          <t>CHICAMA</t>
        </is>
      </c>
      <c r="N67" s="109" t="inlineStr">
        <is>
          <t>Intercuenca Chicama 137721</t>
        </is>
      </c>
      <c r="O67" s="109" t="n"/>
      <c r="P67" s="109" t="n">
        <v>17</v>
      </c>
      <c r="Q67" s="109" t="n">
        <v>0</v>
      </c>
      <c r="R67" s="109" t="inlineStr">
        <is>
          <t>TELLO GONZALES, FERNANDO</t>
        </is>
      </c>
      <c r="S67" s="110" t="inlineStr">
        <is>
          <t>TASE</t>
        </is>
      </c>
      <c r="T67" s="111" t="inlineStr">
        <is>
          <t>CONSUMO HUMANO-AGRICOLA</t>
        </is>
      </c>
      <c r="U67" s="112" t="n">
        <v>45426</v>
      </c>
      <c r="V67" s="111" t="n">
        <v>-1.3</v>
      </c>
      <c r="W67" s="111" t="n">
        <v>1.09</v>
      </c>
      <c r="X67" s="111" t="n">
        <v>2.39</v>
      </c>
      <c r="Y67" s="104" t="n">
        <v>0</v>
      </c>
      <c r="Z67" s="453" t="n">
        <v>1187</v>
      </c>
      <c r="AA67" s="449" t="n">
        <v>7.28</v>
      </c>
      <c r="AB67" s="453" t="n">
        <v>598</v>
      </c>
      <c r="AC67" s="449" t="n">
        <v>24.4</v>
      </c>
      <c r="AD67" s="108" t="n"/>
      <c r="AE67" s="109" t="inlineStr">
        <is>
          <t>VISITADO</t>
        </is>
      </c>
      <c r="AF67" s="110" t="inlineStr">
        <is>
          <t>2024-05-14T12:19:37.305</t>
        </is>
      </c>
      <c r="AG67" s="115" t="n">
        <v>1.95</v>
      </c>
      <c r="AH67" s="449" t="n">
        <v>0.8</v>
      </c>
      <c r="AI67" s="126" t="n">
        <v>8</v>
      </c>
      <c r="AJ67" s="450" t="n">
        <v>0.1</v>
      </c>
      <c r="AK67" s="118" t="n">
        <v>0.036</v>
      </c>
      <c r="AL67" s="119" t="inlineStr">
        <is>
          <t>(1)</t>
        </is>
      </c>
      <c r="AM67" s="451" t="n">
        <v>0.37</v>
      </c>
      <c r="AN67" s="450" t="n">
        <v>0.14</v>
      </c>
      <c r="AO67" s="141">
        <f>36*5</f>
        <v/>
      </c>
      <c r="AP67" s="123" t="n">
        <v>50</v>
      </c>
      <c r="AQ67" s="124" t="n">
        <v>0</v>
      </c>
      <c r="AR67" s="124" t="n">
        <v>0</v>
      </c>
    </row>
    <row r="68" ht="20.25" customHeight="1">
      <c r="B68" s="76" t="n">
        <v>60</v>
      </c>
      <c r="C68" s="77" t="n">
        <v>705972</v>
      </c>
      <c r="D68" s="139" t="n">
        <v>9140555</v>
      </c>
      <c r="E68" s="83" t="inlineStr">
        <is>
          <t>CH-32B-1</t>
        </is>
      </c>
      <c r="F68" s="80" t="inlineStr">
        <is>
          <t>IRHS-13-02-02-73</t>
        </is>
      </c>
      <c r="G68" s="81" t="inlineStr">
        <is>
          <t>LA LIBERTAD</t>
        </is>
      </c>
      <c r="H68" s="81" t="inlineStr">
        <is>
          <t>ASCOPE</t>
        </is>
      </c>
      <c r="I68" s="81" t="inlineStr">
        <is>
          <t>CHICAMA</t>
        </is>
      </c>
      <c r="J68" s="81" t="inlineStr">
        <is>
          <t>IZQUIERDA</t>
        </is>
      </c>
      <c r="K68" s="81" t="n"/>
      <c r="L68" s="81" t="inlineStr">
        <is>
          <t>HUARMEY-CHICAMA</t>
        </is>
      </c>
      <c r="M68" s="81" t="inlineStr">
        <is>
          <t>CHICAMA</t>
        </is>
      </c>
      <c r="N68" s="81" t="inlineStr">
        <is>
          <t>Intercuenca Chicama 137721</t>
        </is>
      </c>
      <c r="O68" s="81" t="n">
        <v>41894</v>
      </c>
      <c r="P68" s="81" t="n">
        <v>17</v>
      </c>
      <c r="Q68" s="81" t="n">
        <v>0</v>
      </c>
      <c r="R68" s="81" t="inlineStr">
        <is>
          <t>EMPRESA AGROINDUSTRIAL, CASA GRANDE S.A.</t>
        </is>
      </c>
      <c r="S68" s="82" t="inlineStr">
        <is>
          <t>TCE</t>
        </is>
      </c>
      <c r="T68" s="83" t="inlineStr">
        <is>
          <t>AGRÍCOLA</t>
        </is>
      </c>
      <c r="U68" s="84" t="n">
        <v>45427</v>
      </c>
      <c r="V68" s="83" t="n">
        <v>0.3</v>
      </c>
      <c r="W68" s="83" t="n">
        <v>2.19</v>
      </c>
      <c r="X68" s="83" t="n">
        <v>1.89</v>
      </c>
      <c r="Y68" s="76" t="n">
        <v>0</v>
      </c>
      <c r="Z68" s="443" t="n">
        <v>1195</v>
      </c>
      <c r="AA68" s="442" t="n">
        <v>6.83</v>
      </c>
      <c r="AB68" s="443" t="n">
        <v>611</v>
      </c>
      <c r="AC68" s="442" t="n">
        <v>23.8</v>
      </c>
      <c r="AD68" s="80" t="n"/>
      <c r="AE68" s="81" t="inlineStr">
        <is>
          <t>VISITADO</t>
        </is>
      </c>
      <c r="AF68" s="82" t="inlineStr">
        <is>
          <t>2024-05-15T09:21:57.839</t>
        </is>
      </c>
      <c r="AG68" s="88" t="n">
        <v>15.6</v>
      </c>
      <c r="AH68" s="442" t="n">
        <v>0.6</v>
      </c>
      <c r="AI68" s="89" t="n">
        <v>2</v>
      </c>
      <c r="AJ68" s="444" t="n">
        <v>0.14</v>
      </c>
      <c r="AK68" s="91" t="n">
        <v>0.032</v>
      </c>
      <c r="AL68" s="92" t="inlineStr">
        <is>
          <t>(1)</t>
        </is>
      </c>
      <c r="AM68" s="445" t="n">
        <v>0.22</v>
      </c>
      <c r="AN68" s="444" t="n">
        <v>0.08500000000000001</v>
      </c>
      <c r="AO68" s="140">
        <f>5*41</f>
        <v/>
      </c>
      <c r="AP68" s="96" t="inlineStr">
        <is>
          <t>*</t>
        </is>
      </c>
      <c r="AQ68" s="97" t="inlineStr">
        <is>
          <t>*</t>
        </is>
      </c>
      <c r="AR68" s="97" t="inlineStr">
        <is>
          <t>*</t>
        </is>
      </c>
    </row>
    <row r="69" ht="20.25" customHeight="1">
      <c r="B69" s="76" t="n">
        <v>61</v>
      </c>
      <c r="C69" s="77" t="n">
        <v>706972</v>
      </c>
      <c r="D69" s="139" t="n">
        <v>9140180</v>
      </c>
      <c r="E69" s="83" t="inlineStr">
        <is>
          <t>CH-32A-1</t>
        </is>
      </c>
      <c r="F69" s="80" t="n"/>
      <c r="G69" s="81" t="inlineStr">
        <is>
          <t>LA LIBERTAD</t>
        </is>
      </c>
      <c r="H69" s="81" t="inlineStr">
        <is>
          <t>ASCOPE</t>
        </is>
      </c>
      <c r="I69" s="81" t="inlineStr">
        <is>
          <t>CHICAMA</t>
        </is>
      </c>
      <c r="J69" s="81" t="inlineStr">
        <is>
          <t>IZQUIERDA</t>
        </is>
      </c>
      <c r="K69" s="81" t="n"/>
      <c r="L69" s="81" t="inlineStr">
        <is>
          <t>HUARMEY-CHICAMA</t>
        </is>
      </c>
      <c r="M69" s="81" t="inlineStr">
        <is>
          <t>CHICAMA</t>
        </is>
      </c>
      <c r="N69" s="81" t="inlineStr">
        <is>
          <t>Intercuenca Chicama 137721</t>
        </is>
      </c>
      <c r="O69" s="81" t="n"/>
      <c r="P69" s="81" t="n">
        <v>17</v>
      </c>
      <c r="Q69" s="81" t="n">
        <v>0</v>
      </c>
      <c r="R69" s="81" t="inlineStr">
        <is>
          <t>EMP.AGRO INDUSTRIAL, CASA GRANDE S.A.</t>
        </is>
      </c>
      <c r="S69" s="82" t="inlineStr">
        <is>
          <t>TSE</t>
        </is>
      </c>
      <c r="T69" s="83" t="inlineStr">
        <is>
          <t>AGRÍCOLA</t>
        </is>
      </c>
      <c r="U69" s="84" t="n">
        <v>45427</v>
      </c>
      <c r="V69" s="83" t="n">
        <v>0.4</v>
      </c>
      <c r="W69" s="83" t="n">
        <v>1.39</v>
      </c>
      <c r="X69" s="83" t="n">
        <v>0.99</v>
      </c>
      <c r="Y69" s="76" t="n">
        <v>0</v>
      </c>
      <c r="Z69" s="443" t="n">
        <v>622</v>
      </c>
      <c r="AA69" s="442" t="n">
        <v>7.45</v>
      </c>
      <c r="AB69" s="443" t="n">
        <v>305</v>
      </c>
      <c r="AC69" s="442" t="n">
        <v>24.8</v>
      </c>
      <c r="AD69" s="80" t="n"/>
      <c r="AE69" s="81" t="inlineStr">
        <is>
          <t>VISITADO</t>
        </is>
      </c>
      <c r="AF69" s="82" t="inlineStr">
        <is>
          <t>2024-05-15T09:32:37.125</t>
        </is>
      </c>
      <c r="AG69" s="88" t="n">
        <v>15.8</v>
      </c>
      <c r="AH69" s="442" t="n">
        <v>0.8</v>
      </c>
      <c r="AI69" s="89" t="n">
        <v>4</v>
      </c>
      <c r="AJ69" s="444" t="n">
        <v>0.12</v>
      </c>
      <c r="AK69" s="91" t="n">
        <v>0.013</v>
      </c>
      <c r="AL69" s="92" t="inlineStr">
        <is>
          <t>(1)</t>
        </is>
      </c>
      <c r="AM69" s="445" t="n">
        <v>0.17</v>
      </c>
      <c r="AN69" s="444" t="n">
        <v>0.08599999999999999</v>
      </c>
      <c r="AO69" s="140">
        <f>5*43</f>
        <v/>
      </c>
      <c r="AP69" s="96" t="inlineStr">
        <is>
          <t>*</t>
        </is>
      </c>
      <c r="AQ69" s="97" t="inlineStr">
        <is>
          <t>*</t>
        </is>
      </c>
      <c r="AR69" s="97" t="inlineStr">
        <is>
          <t>*</t>
        </is>
      </c>
    </row>
    <row r="70" ht="20.25" customHeight="1">
      <c r="B70" s="76" t="n">
        <v>62</v>
      </c>
      <c r="C70" s="77" t="n">
        <v>707862</v>
      </c>
      <c r="D70" s="139" t="n">
        <v>9141838</v>
      </c>
      <c r="E70" s="83" t="inlineStr">
        <is>
          <t>CH-47A</t>
        </is>
      </c>
      <c r="F70" s="80" t="inlineStr">
        <is>
          <t>IRHS 221</t>
        </is>
      </c>
      <c r="G70" s="81" t="inlineStr">
        <is>
          <t>LA LIBERTAD</t>
        </is>
      </c>
      <c r="H70" s="81" t="inlineStr">
        <is>
          <t>ASCOPE</t>
        </is>
      </c>
      <c r="I70" s="81" t="inlineStr">
        <is>
          <t>CHICAMA</t>
        </is>
      </c>
      <c r="J70" s="81" t="inlineStr">
        <is>
          <t>IZQUIERDA</t>
        </is>
      </c>
      <c r="K70" s="81" t="n"/>
      <c r="L70" s="81" t="inlineStr">
        <is>
          <t>HUARMEY-CHICAMA</t>
        </is>
      </c>
      <c r="M70" s="81" t="inlineStr">
        <is>
          <t>CHICAMA</t>
        </is>
      </c>
      <c r="N70" s="81" t="inlineStr">
        <is>
          <t>Intercuenca Chicama 137721</t>
        </is>
      </c>
      <c r="O70" s="81" t="n"/>
      <c r="P70" s="81" t="n">
        <v>17</v>
      </c>
      <c r="Q70" s="81" t="n">
        <v>0</v>
      </c>
      <c r="R70" s="81" t="inlineStr">
        <is>
          <t>EMP.AGRO INDUSTRIAL, CASA GRANDE S.A.</t>
        </is>
      </c>
      <c r="S70" s="82" t="inlineStr">
        <is>
          <t>TSE</t>
        </is>
      </c>
      <c r="T70" s="83" t="inlineStr">
        <is>
          <t>AGRICOLA</t>
        </is>
      </c>
      <c r="U70" s="84" t="n">
        <v>45427</v>
      </c>
      <c r="V70" s="83" t="n">
        <v>0.4</v>
      </c>
      <c r="W70" s="83" t="n">
        <v>3.27</v>
      </c>
      <c r="X70" s="83" t="n">
        <v>2.87</v>
      </c>
      <c r="Y70" s="76" t="n">
        <v>0</v>
      </c>
      <c r="Z70" s="441" t="n">
        <v>1790</v>
      </c>
      <c r="AA70" s="442" t="n">
        <v>7.11</v>
      </c>
      <c r="AB70" s="443" t="n">
        <v>912</v>
      </c>
      <c r="AC70" s="442" t="n">
        <v>24.4</v>
      </c>
      <c r="AD70" s="80" t="n"/>
      <c r="AE70" s="81" t="inlineStr">
        <is>
          <t>VISITADO</t>
        </is>
      </c>
      <c r="AF70" s="82" t="inlineStr">
        <is>
          <t>2024-05-15T09:44:58.678</t>
        </is>
      </c>
      <c r="AG70" s="100" t="n">
        <v>4.64</v>
      </c>
      <c r="AH70" s="442" t="n">
        <v>0.8</v>
      </c>
      <c r="AI70" s="89" t="n">
        <v>2</v>
      </c>
      <c r="AJ70" s="444" t="n">
        <v>2.01</v>
      </c>
      <c r="AK70" s="91" t="n">
        <v>0.033</v>
      </c>
      <c r="AL70" s="92" t="inlineStr">
        <is>
          <t>(1)</t>
        </is>
      </c>
      <c r="AM70" s="445" t="n">
        <v>0.25</v>
      </c>
      <c r="AN70" s="444" t="n">
        <v>0.136</v>
      </c>
      <c r="AO70" s="140">
        <f>5*38</f>
        <v/>
      </c>
      <c r="AP70" s="96" t="inlineStr">
        <is>
          <t>*</t>
        </is>
      </c>
      <c r="AQ70" s="97" t="inlineStr">
        <is>
          <t>*</t>
        </is>
      </c>
      <c r="AR70" s="97" t="inlineStr">
        <is>
          <t>*</t>
        </is>
      </c>
    </row>
    <row r="71" ht="20.25" customHeight="1">
      <c r="B71" s="76" t="n">
        <v>63</v>
      </c>
      <c r="C71" s="77" t="n">
        <v>708626</v>
      </c>
      <c r="D71" s="139" t="n">
        <v>9143199</v>
      </c>
      <c r="E71" s="83" t="inlineStr">
        <is>
          <t>CH-54A</t>
        </is>
      </c>
      <c r="F71" s="80" t="n"/>
      <c r="G71" s="81" t="inlineStr">
        <is>
          <t>LA LIBERTAD</t>
        </is>
      </c>
      <c r="H71" s="81" t="inlineStr">
        <is>
          <t>ASCOPE</t>
        </is>
      </c>
      <c r="I71" s="81" t="inlineStr">
        <is>
          <t>CHICAMA</t>
        </is>
      </c>
      <c r="J71" s="81" t="inlineStr">
        <is>
          <t>IZQUIERDA</t>
        </is>
      </c>
      <c r="K71" s="81" t="n"/>
      <c r="L71" s="81" t="inlineStr">
        <is>
          <t>HUARMEY-CHICAMA</t>
        </is>
      </c>
      <c r="M71" s="81" t="inlineStr">
        <is>
          <t>CHICAMA</t>
        </is>
      </c>
      <c r="N71" s="81" t="inlineStr">
        <is>
          <t>Intercuenca Chicama 137721</t>
        </is>
      </c>
      <c r="O71" s="81" t="n"/>
      <c r="P71" s="81" t="n">
        <v>17</v>
      </c>
      <c r="Q71" s="81" t="n">
        <v>0</v>
      </c>
      <c r="R71" s="81" t="inlineStr">
        <is>
          <t>EMP.AGRO INDUSTRIAL, CASA GRANDE S.A.</t>
        </is>
      </c>
      <c r="S71" s="82" t="inlineStr">
        <is>
          <t>TASE</t>
        </is>
      </c>
      <c r="T71" s="83" t="inlineStr">
        <is>
          <t>AGRICOLA</t>
        </is>
      </c>
      <c r="U71" s="84" t="n">
        <v>45427</v>
      </c>
      <c r="V71" s="83" t="n">
        <v>0</v>
      </c>
      <c r="W71" s="83" t="n">
        <v>2.54</v>
      </c>
      <c r="X71" s="83" t="n">
        <v>2.54</v>
      </c>
      <c r="Y71" s="76" t="n">
        <v>0</v>
      </c>
      <c r="Z71" s="443" t="n">
        <v>1344</v>
      </c>
      <c r="AA71" s="442" t="n">
        <v>7.17</v>
      </c>
      <c r="AB71" s="443" t="n">
        <v>668</v>
      </c>
      <c r="AC71" s="442" t="n">
        <v>25.1</v>
      </c>
      <c r="AD71" s="80" t="n"/>
      <c r="AE71" s="81" t="inlineStr">
        <is>
          <t>VISITADO</t>
        </is>
      </c>
      <c r="AF71" s="82" t="inlineStr">
        <is>
          <t>2024-05-15T10:12:39.058</t>
        </is>
      </c>
      <c r="AG71" s="88" t="n">
        <v>8.4</v>
      </c>
      <c r="AH71" s="442" t="n">
        <v>0.9</v>
      </c>
      <c r="AI71" s="89" t="n">
        <v>4</v>
      </c>
      <c r="AJ71" s="444" t="n">
        <v>1.5</v>
      </c>
      <c r="AK71" s="91" t="n">
        <v>0.047</v>
      </c>
      <c r="AL71" s="92" t="inlineStr">
        <is>
          <t>(1)</t>
        </is>
      </c>
      <c r="AM71" s="445" t="n">
        <v>0.29</v>
      </c>
      <c r="AN71" s="444" t="n">
        <v>0.078</v>
      </c>
      <c r="AO71" s="140">
        <f>5*39</f>
        <v/>
      </c>
      <c r="AP71" s="96" t="inlineStr">
        <is>
          <t>*</t>
        </is>
      </c>
      <c r="AQ71" s="97" t="inlineStr">
        <is>
          <t>*</t>
        </is>
      </c>
      <c r="AR71" s="97" t="inlineStr">
        <is>
          <t>*</t>
        </is>
      </c>
    </row>
    <row r="72" ht="20.25" customHeight="1">
      <c r="B72" s="76" t="n">
        <v>64</v>
      </c>
      <c r="C72" s="77" t="n">
        <v>709388</v>
      </c>
      <c r="D72" s="139" t="n">
        <v>9142814</v>
      </c>
      <c r="E72" s="83" t="inlineStr">
        <is>
          <t>CH-50A</t>
        </is>
      </c>
      <c r="F72" s="80" t="inlineStr">
        <is>
          <t>IRHS 403</t>
        </is>
      </c>
      <c r="G72" s="81" t="inlineStr">
        <is>
          <t>LA LIBERTAD</t>
        </is>
      </c>
      <c r="H72" s="81" t="inlineStr">
        <is>
          <t>ASCOPE</t>
        </is>
      </c>
      <c r="I72" s="81" t="inlineStr">
        <is>
          <t>CHICAMA</t>
        </is>
      </c>
      <c r="J72" s="81" t="inlineStr">
        <is>
          <t>IZQUIERDA</t>
        </is>
      </c>
      <c r="K72" s="81" t="n"/>
      <c r="L72" s="81" t="inlineStr">
        <is>
          <t>HUARMEY-CHICAMA</t>
        </is>
      </c>
      <c r="M72" s="81" t="inlineStr">
        <is>
          <t>CHICAMA</t>
        </is>
      </c>
      <c r="N72" s="81" t="inlineStr">
        <is>
          <t>Intercuenca Chicama 137721</t>
        </is>
      </c>
      <c r="O72" s="81" t="n"/>
      <c r="P72" s="81" t="n">
        <v>17</v>
      </c>
      <c r="Q72" s="81" t="n">
        <v>0</v>
      </c>
      <c r="R72" s="81" t="inlineStr">
        <is>
          <t>EMP.AGRO INDUSTRIAL, CASA GRANDE S.A.</t>
        </is>
      </c>
      <c r="S72" s="82" t="inlineStr">
        <is>
          <t>TSE</t>
        </is>
      </c>
      <c r="T72" s="83" t="inlineStr">
        <is>
          <t>AGRÍCOLA</t>
        </is>
      </c>
      <c r="U72" s="84" t="n">
        <v>45427</v>
      </c>
      <c r="V72" s="83" t="n">
        <v>0.3</v>
      </c>
      <c r="W72" s="83" t="n">
        <v>1.9</v>
      </c>
      <c r="X72" s="83" t="n">
        <v>1.6</v>
      </c>
      <c r="Y72" s="76" t="n">
        <v>0</v>
      </c>
      <c r="Z72" s="441" t="n">
        <v>1626</v>
      </c>
      <c r="AA72" s="442" t="n">
        <v>7.27</v>
      </c>
      <c r="AB72" s="443" t="n">
        <v>811</v>
      </c>
      <c r="AC72" s="442" t="n">
        <v>25.1</v>
      </c>
      <c r="AD72" s="80" t="n"/>
      <c r="AE72" s="81" t="inlineStr">
        <is>
          <t>VISITADO</t>
        </is>
      </c>
      <c r="AF72" s="82" t="inlineStr">
        <is>
          <t>2024-05-15T10:21:15.725</t>
        </is>
      </c>
      <c r="AG72" s="100" t="n">
        <v>3.61</v>
      </c>
      <c r="AH72" s="442" t="n">
        <v>0.6</v>
      </c>
      <c r="AI72" s="89" t="n">
        <v>2</v>
      </c>
      <c r="AJ72" s="444" t="n">
        <v>1.39</v>
      </c>
      <c r="AK72" s="91" t="n">
        <v>0.027</v>
      </c>
      <c r="AL72" s="92" t="inlineStr">
        <is>
          <t>(1)</t>
        </is>
      </c>
      <c r="AM72" s="445" t="n">
        <v>0.38</v>
      </c>
      <c r="AN72" s="444" t="n">
        <v>0.22</v>
      </c>
      <c r="AO72" s="140">
        <f>5*37</f>
        <v/>
      </c>
      <c r="AP72" s="96" t="inlineStr">
        <is>
          <t>*</t>
        </is>
      </c>
      <c r="AQ72" s="97" t="inlineStr">
        <is>
          <t>*</t>
        </is>
      </c>
      <c r="AR72" s="97" t="inlineStr">
        <is>
          <t>*</t>
        </is>
      </c>
    </row>
    <row r="73" ht="20.25" customFormat="1" customHeight="1" s="54">
      <c r="B73" s="104" t="n">
        <v>65</v>
      </c>
      <c r="C73" s="105" t="n">
        <v>713568</v>
      </c>
      <c r="D73" s="138" t="n">
        <v>9144353</v>
      </c>
      <c r="E73" s="111" t="inlineStr">
        <is>
          <t>CH-68</t>
        </is>
      </c>
      <c r="F73" s="108" t="n"/>
      <c r="G73" s="109" t="inlineStr">
        <is>
          <t>LA LIBERTAD</t>
        </is>
      </c>
      <c r="H73" s="109" t="inlineStr">
        <is>
          <t>ASCOPE</t>
        </is>
      </c>
      <c r="I73" s="109" t="inlineStr">
        <is>
          <t>CHICAMA</t>
        </is>
      </c>
      <c r="J73" s="109" t="inlineStr">
        <is>
          <t>IZQUIERDA</t>
        </is>
      </c>
      <c r="K73" s="109" t="n"/>
      <c r="L73" s="109" t="inlineStr">
        <is>
          <t>HUARMEY-CHICAMA</t>
        </is>
      </c>
      <c r="M73" s="109" t="inlineStr">
        <is>
          <t>CHICAMA</t>
        </is>
      </c>
      <c r="N73" s="109" t="inlineStr">
        <is>
          <t>Intercuenca Chicama 137721</t>
        </is>
      </c>
      <c r="O73" s="109" t="n"/>
      <c r="P73" s="109" t="n">
        <v>17</v>
      </c>
      <c r="Q73" s="109" t="n">
        <v>0</v>
      </c>
      <c r="R73" s="109" t="inlineStr">
        <is>
          <t>RONCAL FLORIAN, WILDOR ROBINSON</t>
        </is>
      </c>
      <c r="S73" s="110" t="inlineStr">
        <is>
          <t>TSE</t>
        </is>
      </c>
      <c r="T73" s="111" t="inlineStr">
        <is>
          <t>CONSUMO HUMANO</t>
        </is>
      </c>
      <c r="U73" s="112" t="n">
        <v>45427</v>
      </c>
      <c r="V73" s="111" t="n">
        <v>0.15</v>
      </c>
      <c r="W73" s="111" t="n">
        <v>1.18</v>
      </c>
      <c r="X73" s="111" t="n">
        <v>1.03</v>
      </c>
      <c r="Y73" s="104" t="n">
        <v>0</v>
      </c>
      <c r="Z73" s="453" t="n">
        <v>1060</v>
      </c>
      <c r="AA73" s="449" t="n">
        <v>7.29</v>
      </c>
      <c r="AB73" s="453" t="n">
        <v>519</v>
      </c>
      <c r="AC73" s="449" t="n">
        <v>25.4</v>
      </c>
      <c r="AD73" s="108" t="n"/>
      <c r="AE73" s="109" t="inlineStr">
        <is>
          <t>VISITADO</t>
        </is>
      </c>
      <c r="AF73" s="110" t="inlineStr">
        <is>
          <t>2024-05-15T10:32:09.085</t>
        </is>
      </c>
      <c r="AG73" s="115" t="n">
        <v>3.44</v>
      </c>
      <c r="AH73" s="449" t="n">
        <v>0.9</v>
      </c>
      <c r="AI73" s="126" t="n">
        <v>5</v>
      </c>
      <c r="AJ73" s="450" t="n">
        <v>1.22</v>
      </c>
      <c r="AK73" s="118" t="n">
        <v>0.029</v>
      </c>
      <c r="AL73" s="119" t="inlineStr">
        <is>
          <t>(1)</t>
        </is>
      </c>
      <c r="AM73" s="451" t="n">
        <v>0.3</v>
      </c>
      <c r="AN73" s="452" t="n">
        <v>0.384</v>
      </c>
      <c r="AO73" s="141">
        <f>5*40</f>
        <v/>
      </c>
      <c r="AP73" s="123" t="n">
        <v>80</v>
      </c>
      <c r="AQ73" s="124" t="n">
        <v>0</v>
      </c>
      <c r="AR73" s="124" t="n">
        <v>0</v>
      </c>
    </row>
    <row r="74" ht="20.25" customHeight="1">
      <c r="B74" s="76" t="n">
        <v>66</v>
      </c>
      <c r="C74" s="77" t="n">
        <v>711124</v>
      </c>
      <c r="D74" s="139" t="n">
        <v>9145346</v>
      </c>
      <c r="E74" s="83" t="inlineStr">
        <is>
          <t>CH-46A</t>
        </is>
      </c>
      <c r="F74" s="80" t="inlineStr">
        <is>
          <t>IRHS-13-02-01-144</t>
        </is>
      </c>
      <c r="G74" s="81" t="inlineStr">
        <is>
          <t>LA LIBERTAD</t>
        </is>
      </c>
      <c r="H74" s="81" t="inlineStr">
        <is>
          <t>ASCOPE</t>
        </is>
      </c>
      <c r="I74" s="81" t="inlineStr">
        <is>
          <t>ASCOPE</t>
        </is>
      </c>
      <c r="J74" s="81" t="inlineStr">
        <is>
          <t>DERECHA</t>
        </is>
      </c>
      <c r="K74" s="81" t="n"/>
      <c r="L74" s="81" t="inlineStr">
        <is>
          <t>HUARMEY-CHICAMA</t>
        </is>
      </c>
      <c r="M74" s="81" t="inlineStr">
        <is>
          <t>CHICAMA</t>
        </is>
      </c>
      <c r="N74" s="81" t="inlineStr">
        <is>
          <t>Intercuenca Chicama 137721</t>
        </is>
      </c>
      <c r="O74" s="81" t="n">
        <v>41813</v>
      </c>
      <c r="P74" s="81" t="n">
        <v>17</v>
      </c>
      <c r="Q74" s="81" t="n">
        <v>0</v>
      </c>
      <c r="R74" s="81" t="inlineStr">
        <is>
          <t>CASA GRANDE S.A.A - 19 N</t>
        </is>
      </c>
      <c r="S74" s="82" t="inlineStr">
        <is>
          <t>TSE</t>
        </is>
      </c>
      <c r="T74" s="83" t="inlineStr">
        <is>
          <t>AGRÍCOLA</t>
        </is>
      </c>
      <c r="U74" s="84" t="n">
        <v>45426</v>
      </c>
      <c r="V74" s="83" t="n">
        <v>0.3</v>
      </c>
      <c r="W74" s="83" t="n">
        <v>3.57</v>
      </c>
      <c r="X74" s="83" t="n">
        <v>3.27</v>
      </c>
      <c r="Y74" s="76" t="n">
        <v>0</v>
      </c>
      <c r="Z74" s="443" t="n">
        <v>737</v>
      </c>
      <c r="AA74" s="442" t="n">
        <v>7.89</v>
      </c>
      <c r="AB74" s="443" t="n">
        <v>351</v>
      </c>
      <c r="AC74" s="442" t="n">
        <v>26.2</v>
      </c>
      <c r="AD74" s="80" t="n"/>
      <c r="AE74" s="81" t="inlineStr">
        <is>
          <t>VISITADO</t>
        </is>
      </c>
      <c r="AF74" s="82" t="inlineStr">
        <is>
          <t>2024-05-14T11:21:49.669</t>
        </is>
      </c>
      <c r="AG74" s="88" t="n">
        <v>10.4</v>
      </c>
      <c r="AH74" s="442" t="n">
        <v>0.5</v>
      </c>
      <c r="AI74" s="89" t="n">
        <v>2</v>
      </c>
      <c r="AJ74" s="444" t="n">
        <v>0.2</v>
      </c>
      <c r="AK74" s="91" t="n">
        <v>0.016</v>
      </c>
      <c r="AL74" s="92" t="inlineStr">
        <is>
          <t>(1)</t>
        </is>
      </c>
      <c r="AM74" s="445" t="n">
        <v>0.25</v>
      </c>
      <c r="AN74" s="444" t="n">
        <v>0.204</v>
      </c>
      <c r="AO74" s="140">
        <f>5*39</f>
        <v/>
      </c>
      <c r="AP74" s="96" t="inlineStr">
        <is>
          <t>*</t>
        </is>
      </c>
      <c r="AQ74" s="97" t="inlineStr">
        <is>
          <t>*</t>
        </is>
      </c>
      <c r="AR74" s="97" t="inlineStr">
        <is>
          <t>*</t>
        </is>
      </c>
    </row>
    <row r="75" ht="20.25" customHeight="1">
      <c r="B75" s="76" t="n">
        <v>67</v>
      </c>
      <c r="C75" s="77" t="n">
        <v>713708</v>
      </c>
      <c r="D75" s="139" t="n">
        <v>9146165</v>
      </c>
      <c r="E75" s="83" t="inlineStr">
        <is>
          <t>CH-51A</t>
        </is>
      </c>
      <c r="F75" s="80" t="n"/>
      <c r="G75" s="81" t="inlineStr">
        <is>
          <t>LA LIBERTAD</t>
        </is>
      </c>
      <c r="H75" s="81" t="inlineStr">
        <is>
          <t>ASCOPE</t>
        </is>
      </c>
      <c r="I75" s="81" t="inlineStr">
        <is>
          <t>ASCOPE</t>
        </is>
      </c>
      <c r="J75" s="81" t="inlineStr">
        <is>
          <t>DERECHA</t>
        </is>
      </c>
      <c r="K75" s="81" t="n"/>
      <c r="L75" s="81" t="inlineStr">
        <is>
          <t>HUARMEY-CHICAMA</t>
        </is>
      </c>
      <c r="M75" s="81" t="inlineStr">
        <is>
          <t>CHICAMA</t>
        </is>
      </c>
      <c r="N75" s="81" t="inlineStr">
        <is>
          <t>Intercuenca Chicama 137721</t>
        </is>
      </c>
      <c r="O75" s="81" t="n"/>
      <c r="P75" s="81" t="n">
        <v>17</v>
      </c>
      <c r="Q75" s="81" t="n">
        <v>0</v>
      </c>
      <c r="R75" s="81" t="inlineStr">
        <is>
          <t>EMPRESA AGROINDUSTRIAL, CASA GRANDE</t>
        </is>
      </c>
      <c r="S75" s="82" t="inlineStr">
        <is>
          <t>TSE</t>
        </is>
      </c>
      <c r="T75" s="83" t="inlineStr">
        <is>
          <t>AGRÍCOLA</t>
        </is>
      </c>
      <c r="U75" s="84" t="n">
        <v>45426</v>
      </c>
      <c r="V75" s="83" t="n">
        <v>0.3</v>
      </c>
      <c r="W75" s="83" t="n">
        <v>3.27</v>
      </c>
      <c r="X75" s="83" t="n">
        <v>2.97</v>
      </c>
      <c r="Y75" s="76" t="n">
        <v>0</v>
      </c>
      <c r="Z75" s="443" t="n">
        <v>891</v>
      </c>
      <c r="AA75" s="442" t="n">
        <v>8.19</v>
      </c>
      <c r="AB75" s="443" t="n">
        <v>433</v>
      </c>
      <c r="AC75" s="442" t="n">
        <v>24.9</v>
      </c>
      <c r="AD75" s="80" t="inlineStr">
        <is>
          <t>NUEVO</t>
        </is>
      </c>
      <c r="AE75" s="81" t="inlineStr">
        <is>
          <t>VISITADO</t>
        </is>
      </c>
      <c r="AF75" s="82" t="inlineStr">
        <is>
          <t>2024-05-14T11:38:30.665</t>
        </is>
      </c>
      <c r="AG75" s="88" t="n">
        <v>19.3</v>
      </c>
      <c r="AH75" s="442" t="n">
        <v>1.3</v>
      </c>
      <c r="AI75" s="89" t="n">
        <v>8</v>
      </c>
      <c r="AJ75" s="444" t="n">
        <v>0.3</v>
      </c>
      <c r="AK75" s="91" t="n">
        <v>0.018</v>
      </c>
      <c r="AL75" s="92" t="inlineStr">
        <is>
          <t>(1)</t>
        </is>
      </c>
      <c r="AM75" s="445" t="n">
        <v>0.22</v>
      </c>
      <c r="AN75" s="444" t="n">
        <v>0.1</v>
      </c>
      <c r="AO75" s="140">
        <f>5*36</f>
        <v/>
      </c>
      <c r="AP75" s="96" t="inlineStr">
        <is>
          <t>*</t>
        </is>
      </c>
      <c r="AQ75" s="97" t="inlineStr">
        <is>
          <t>*</t>
        </is>
      </c>
      <c r="AR75" s="97" t="inlineStr">
        <is>
          <t>*</t>
        </is>
      </c>
    </row>
    <row r="76" ht="20.25" customFormat="1" customHeight="1" s="54">
      <c r="B76" s="104" t="n">
        <v>68</v>
      </c>
      <c r="C76" s="105" t="n">
        <v>716418</v>
      </c>
      <c r="D76" s="138" t="n">
        <v>9146780</v>
      </c>
      <c r="E76" s="111" t="inlineStr">
        <is>
          <t>CH-67</t>
        </is>
      </c>
      <c r="F76" s="108" t="inlineStr">
        <is>
          <t>IRHS-13-02-01-23</t>
        </is>
      </c>
      <c r="G76" s="109" t="inlineStr">
        <is>
          <t>LA LIBERTAD</t>
        </is>
      </c>
      <c r="H76" s="109" t="inlineStr">
        <is>
          <t>ASCOPE</t>
        </is>
      </c>
      <c r="I76" s="109" t="inlineStr">
        <is>
          <t>ASCOPE</t>
        </is>
      </c>
      <c r="J76" s="109" t="inlineStr">
        <is>
          <t>DERECHA</t>
        </is>
      </c>
      <c r="K76" s="109" t="n"/>
      <c r="L76" s="109" t="inlineStr">
        <is>
          <t>HUARMEY-CHICAMA</t>
        </is>
      </c>
      <c r="M76" s="109" t="inlineStr">
        <is>
          <t>CHICAMA</t>
        </is>
      </c>
      <c r="N76" s="109" t="inlineStr">
        <is>
          <t>Intercuenca Chicama 137721</t>
        </is>
      </c>
      <c r="O76" s="109" t="n">
        <v>41838</v>
      </c>
      <c r="P76" s="109" t="n">
        <v>17</v>
      </c>
      <c r="Q76" s="109" t="n">
        <v>0</v>
      </c>
      <c r="R76" s="109" t="inlineStr">
        <is>
          <t>LUIS ENRIQUE JIMÉNEZ VÁSQUEZ</t>
        </is>
      </c>
      <c r="S76" s="110" t="inlineStr">
        <is>
          <t>TACE</t>
        </is>
      </c>
      <c r="T76" s="111" t="inlineStr">
        <is>
          <t>CONSUMO HUMANO-AGRICOLA</t>
        </is>
      </c>
      <c r="U76" s="112" t="n">
        <v>45426</v>
      </c>
      <c r="V76" s="111" t="n">
        <v>-5</v>
      </c>
      <c r="W76" s="111" t="n">
        <v>4.62</v>
      </c>
      <c r="X76" s="111" t="n">
        <v>9.619999999999999</v>
      </c>
      <c r="Y76" s="104" t="n">
        <v>0</v>
      </c>
      <c r="Z76" s="453" t="n">
        <v>880</v>
      </c>
      <c r="AA76" s="449" t="n">
        <v>7.47</v>
      </c>
      <c r="AB76" s="453" t="n">
        <v>435</v>
      </c>
      <c r="AC76" s="449" t="n">
        <v>24.7</v>
      </c>
      <c r="AD76" s="108" t="n"/>
      <c r="AE76" s="109" t="inlineStr">
        <is>
          <t>VISITADO</t>
        </is>
      </c>
      <c r="AF76" s="110" t="inlineStr">
        <is>
          <t>2024-05-14T11:51:20.267</t>
        </is>
      </c>
      <c r="AG76" s="115" t="n">
        <v>5.25</v>
      </c>
      <c r="AH76" s="449" t="n">
        <v>0.7</v>
      </c>
      <c r="AI76" s="126" t="n">
        <v>6</v>
      </c>
      <c r="AJ76" s="450" t="n">
        <v>0.59</v>
      </c>
      <c r="AK76" s="118" t="n">
        <v>0.028</v>
      </c>
      <c r="AL76" s="119" t="inlineStr">
        <is>
          <t>(1)</t>
        </is>
      </c>
      <c r="AM76" s="451" t="n">
        <v>0.17</v>
      </c>
      <c r="AN76" s="450" t="n">
        <v>0.112</v>
      </c>
      <c r="AO76" s="141">
        <f>5*39</f>
        <v/>
      </c>
      <c r="AP76" s="123" t="n">
        <v>100</v>
      </c>
      <c r="AQ76" s="124" t="n">
        <v>0</v>
      </c>
      <c r="AR76" s="124" t="n">
        <v>0</v>
      </c>
    </row>
    <row r="77" ht="20.25" customHeight="1">
      <c r="B77" s="76" t="n">
        <v>69</v>
      </c>
      <c r="C77" s="77" t="n">
        <v>704151</v>
      </c>
      <c r="D77" s="139" t="n">
        <v>9141839</v>
      </c>
      <c r="E77" s="83" t="inlineStr">
        <is>
          <t>CH-167A-2</t>
        </is>
      </c>
      <c r="F77" s="80" t="n"/>
      <c r="G77" s="81" t="inlineStr">
        <is>
          <t>LA LIBERTAD</t>
        </is>
      </c>
      <c r="H77" s="81" t="inlineStr">
        <is>
          <t>ASCOPE</t>
        </is>
      </c>
      <c r="I77" s="81" t="inlineStr">
        <is>
          <t>CASA GRANDE</t>
        </is>
      </c>
      <c r="J77" s="81" t="inlineStr">
        <is>
          <t>DERECHA</t>
        </is>
      </c>
      <c r="K77" s="81" t="n"/>
      <c r="L77" s="81" t="inlineStr">
        <is>
          <t>HUARMEY-CHICAMA</t>
        </is>
      </c>
      <c r="M77" s="81" t="inlineStr">
        <is>
          <t>CHICAMA</t>
        </is>
      </c>
      <c r="N77" s="81" t="inlineStr">
        <is>
          <t>Unidad Hidrografica 13773</t>
        </is>
      </c>
      <c r="O77" s="81" t="n"/>
      <c r="P77" s="81" t="n">
        <v>17</v>
      </c>
      <c r="Q77" s="81" t="n">
        <v>0</v>
      </c>
      <c r="R77" s="81" t="inlineStr">
        <is>
          <t>EMPRESA AGROINDUSTRIAL, CASA GRANDE S.A.</t>
        </is>
      </c>
      <c r="S77" s="82" t="inlineStr">
        <is>
          <t>TSE</t>
        </is>
      </c>
      <c r="T77" s="83" t="inlineStr">
        <is>
          <t>AGRICOLA</t>
        </is>
      </c>
      <c r="U77" s="84" t="n">
        <v>45426</v>
      </c>
      <c r="V77" s="83" t="n">
        <v>0</v>
      </c>
      <c r="W77" s="83" t="n">
        <v>2.25</v>
      </c>
      <c r="X77" s="83" t="n">
        <v>2.25</v>
      </c>
      <c r="Y77" s="76" t="n">
        <v>0</v>
      </c>
      <c r="Z77" s="443" t="n">
        <v>1131</v>
      </c>
      <c r="AA77" s="442" t="n">
        <v>7.74</v>
      </c>
      <c r="AB77" s="443" t="n">
        <v>546</v>
      </c>
      <c r="AC77" s="442" t="n">
        <v>26.3</v>
      </c>
      <c r="AD77" s="80" t="inlineStr">
        <is>
          <t>NUEVO</t>
        </is>
      </c>
      <c r="AE77" s="81" t="inlineStr">
        <is>
          <t>VISITADO</t>
        </is>
      </c>
      <c r="AF77" s="82" t="inlineStr">
        <is>
          <t>2024-05-14T10:19:47.025</t>
        </is>
      </c>
      <c r="AG77" s="88" t="n">
        <v>19.9</v>
      </c>
      <c r="AH77" s="442" t="n">
        <v>0.9</v>
      </c>
      <c r="AI77" s="89" t="n">
        <v>4</v>
      </c>
      <c r="AJ77" s="444" t="n">
        <v>1.16</v>
      </c>
      <c r="AK77" s="91" t="n">
        <v>0.024</v>
      </c>
      <c r="AL77" s="92" t="inlineStr">
        <is>
          <t>(1)</t>
        </is>
      </c>
      <c r="AM77" s="445" t="n">
        <v>0.28</v>
      </c>
      <c r="AN77" s="444" t="n">
        <v>0.08500000000000001</v>
      </c>
      <c r="AO77" s="140">
        <f>5*37</f>
        <v/>
      </c>
      <c r="AP77" s="96" t="inlineStr">
        <is>
          <t>*</t>
        </is>
      </c>
      <c r="AQ77" s="97" t="inlineStr">
        <is>
          <t>*</t>
        </is>
      </c>
      <c r="AR77" s="97" t="inlineStr">
        <is>
          <t>*</t>
        </is>
      </c>
    </row>
    <row r="78" ht="20.25" customHeight="1">
      <c r="B78" s="76" t="n">
        <v>70</v>
      </c>
      <c r="C78" s="77" t="n">
        <v>702982</v>
      </c>
      <c r="D78" s="139" t="n">
        <v>9142320</v>
      </c>
      <c r="E78" s="83" t="inlineStr">
        <is>
          <t>CH-11B</t>
        </is>
      </c>
      <c r="F78" s="80" t="inlineStr">
        <is>
          <t>IRHS-13-02-08-408</t>
        </is>
      </c>
      <c r="G78" s="81" t="inlineStr">
        <is>
          <t>LA LIBERTAD</t>
        </is>
      </c>
      <c r="H78" s="81" t="inlineStr">
        <is>
          <t>ASCOPE</t>
        </is>
      </c>
      <c r="I78" s="81" t="inlineStr">
        <is>
          <t>CASA GRANDE</t>
        </is>
      </c>
      <c r="J78" s="81" t="inlineStr">
        <is>
          <t>DERECHA</t>
        </is>
      </c>
      <c r="K78" s="81" t="n"/>
      <c r="L78" s="81" t="inlineStr">
        <is>
          <t>HUARMEY-CHICAMA</t>
        </is>
      </c>
      <c r="M78" s="81" t="inlineStr">
        <is>
          <t>CHICAMA</t>
        </is>
      </c>
      <c r="N78" s="81" t="inlineStr">
        <is>
          <t>Unidad Hidrografica 13773</t>
        </is>
      </c>
      <c r="O78" s="81" t="n">
        <v>41802</v>
      </c>
      <c r="P78" s="81" t="n">
        <v>17</v>
      </c>
      <c r="Q78" s="81" t="n">
        <v>0</v>
      </c>
      <c r="R78" s="81" t="inlineStr">
        <is>
          <t>CASAGRANDE S.A.A.-4 TULAPE</t>
        </is>
      </c>
      <c r="S78" s="82" t="inlineStr">
        <is>
          <t>TSE</t>
        </is>
      </c>
      <c r="T78" s="83" t="inlineStr">
        <is>
          <t>AGRICOLA</t>
        </is>
      </c>
      <c r="U78" s="84" t="n">
        <v>45426</v>
      </c>
      <c r="V78" s="83" t="n">
        <v>0.33</v>
      </c>
      <c r="W78" s="83" t="n">
        <v>1.42</v>
      </c>
      <c r="X78" s="83" t="n">
        <v>1.09</v>
      </c>
      <c r="Y78" s="76" t="n">
        <v>0</v>
      </c>
      <c r="Z78" s="443" t="n">
        <v>935</v>
      </c>
      <c r="AA78" s="442" t="n">
        <v>7.98</v>
      </c>
      <c r="AB78" s="443" t="n">
        <v>463</v>
      </c>
      <c r="AC78" s="442" t="n">
        <v>24.7</v>
      </c>
      <c r="AD78" s="80" t="n"/>
      <c r="AE78" s="81" t="inlineStr">
        <is>
          <t>VISITADO</t>
        </is>
      </c>
      <c r="AF78" s="82" t="inlineStr">
        <is>
          <t>2024-05-14T10:28:29.058</t>
        </is>
      </c>
      <c r="AG78" s="88" t="n">
        <v>14</v>
      </c>
      <c r="AH78" s="442" t="n">
        <v>0.6</v>
      </c>
      <c r="AI78" s="89" t="n">
        <v>5</v>
      </c>
      <c r="AJ78" s="444" t="n">
        <v>0.15</v>
      </c>
      <c r="AK78" s="91" t="n">
        <v>0.023</v>
      </c>
      <c r="AL78" s="92" t="inlineStr">
        <is>
          <t>(1)</t>
        </is>
      </c>
      <c r="AM78" s="445" t="n">
        <v>0.34</v>
      </c>
      <c r="AN78" s="444" t="n">
        <v>0.159</v>
      </c>
      <c r="AO78" s="140">
        <f>5*41</f>
        <v/>
      </c>
      <c r="AP78" s="96" t="inlineStr">
        <is>
          <t>*</t>
        </is>
      </c>
      <c r="AQ78" s="97" t="inlineStr">
        <is>
          <t>*</t>
        </is>
      </c>
      <c r="AR78" s="97" t="inlineStr">
        <is>
          <t>*</t>
        </is>
      </c>
    </row>
    <row r="79" ht="20.25" customHeight="1">
      <c r="B79" s="76" t="n">
        <v>71</v>
      </c>
      <c r="C79" s="77" t="n">
        <v>704666</v>
      </c>
      <c r="D79" s="139" t="n">
        <v>9143288</v>
      </c>
      <c r="E79" s="83" t="inlineStr">
        <is>
          <t>CH-13A</t>
        </is>
      </c>
      <c r="F79" s="80" t="inlineStr">
        <is>
          <t>IRHS-13-02-08-396</t>
        </is>
      </c>
      <c r="G79" s="81" t="inlineStr">
        <is>
          <t>LA LIBERTAD</t>
        </is>
      </c>
      <c r="H79" s="81" t="inlineStr">
        <is>
          <t>ASCOPE</t>
        </is>
      </c>
      <c r="I79" s="81" t="inlineStr">
        <is>
          <t>CASA GRANDE</t>
        </is>
      </c>
      <c r="J79" s="81" t="inlineStr">
        <is>
          <t>DERECHA</t>
        </is>
      </c>
      <c r="K79" s="81" t="n"/>
      <c r="L79" s="81" t="inlineStr">
        <is>
          <t>HUARMEY-CHICAMA</t>
        </is>
      </c>
      <c r="M79" s="81" t="inlineStr">
        <is>
          <t>CHICAMA</t>
        </is>
      </c>
      <c r="N79" s="81" t="inlineStr">
        <is>
          <t>Unidad Hidrografica 13773</t>
        </is>
      </c>
      <c r="O79" s="81" t="n">
        <v>41809</v>
      </c>
      <c r="P79" s="81" t="n">
        <v>17</v>
      </c>
      <c r="Q79" s="81" t="n">
        <v>0</v>
      </c>
      <c r="R79" s="81" t="inlineStr">
        <is>
          <t>EMPRESA AGROINDUSTRIAL, CASA GRANDE S.A.-2 N TULAPA</t>
        </is>
      </c>
      <c r="S79" s="82" t="inlineStr">
        <is>
          <t>TSE</t>
        </is>
      </c>
      <c r="T79" s="83" t="inlineStr">
        <is>
          <t>AGRÍCOLA</t>
        </is>
      </c>
      <c r="U79" s="84" t="n">
        <v>45426</v>
      </c>
      <c r="V79" s="83" t="n">
        <v>0.3</v>
      </c>
      <c r="W79" s="83" t="n">
        <v>2.89</v>
      </c>
      <c r="X79" s="83" t="n">
        <v>2.59</v>
      </c>
      <c r="Y79" s="76" t="n">
        <v>0</v>
      </c>
      <c r="Z79" s="443" t="n">
        <v>841</v>
      </c>
      <c r="AA79" s="442" t="n">
        <v>7.95</v>
      </c>
      <c r="AB79" s="443" t="n">
        <v>408</v>
      </c>
      <c r="AC79" s="442" t="n">
        <v>25.4</v>
      </c>
      <c r="AD79" s="80" t="n"/>
      <c r="AE79" s="81" t="inlineStr">
        <is>
          <t>VISITADO</t>
        </is>
      </c>
      <c r="AF79" s="82" t="inlineStr">
        <is>
          <t>2024-05-14T10:36:48.126</t>
        </is>
      </c>
      <c r="AG79" s="88" t="n">
        <v>27.3</v>
      </c>
      <c r="AH79" s="442" t="n">
        <v>1</v>
      </c>
      <c r="AI79" s="89" t="n">
        <v>7</v>
      </c>
      <c r="AJ79" s="444" t="n">
        <v>0.17</v>
      </c>
      <c r="AK79" s="91" t="n">
        <v>0.044</v>
      </c>
      <c r="AL79" s="92" t="inlineStr">
        <is>
          <t>(1)</t>
        </is>
      </c>
      <c r="AM79" s="445" t="n">
        <v>0.24</v>
      </c>
      <c r="AN79" s="444" t="n">
        <v>0.07000000000000001</v>
      </c>
      <c r="AO79" s="140">
        <f>44*5</f>
        <v/>
      </c>
      <c r="AP79" s="96" t="inlineStr">
        <is>
          <t>*</t>
        </is>
      </c>
      <c r="AQ79" s="97" t="inlineStr">
        <is>
          <t>*</t>
        </is>
      </c>
      <c r="AR79" s="97" t="inlineStr">
        <is>
          <t>*</t>
        </is>
      </c>
    </row>
    <row r="80" ht="20.25" customHeight="1">
      <c r="B80" s="76" t="n">
        <v>72</v>
      </c>
      <c r="C80" s="77" t="n">
        <v>705020</v>
      </c>
      <c r="D80" s="139" t="n">
        <v>9144253</v>
      </c>
      <c r="E80" s="83" t="inlineStr">
        <is>
          <t>CH-16A</t>
        </is>
      </c>
      <c r="F80" s="80" t="inlineStr">
        <is>
          <t>IRHS-13-02-01-7</t>
        </is>
      </c>
      <c r="G80" s="81" t="inlineStr">
        <is>
          <t>LA LIBERTAD</t>
        </is>
      </c>
      <c r="H80" s="81" t="inlineStr">
        <is>
          <t>ASCOPE</t>
        </is>
      </c>
      <c r="I80" s="81" t="inlineStr">
        <is>
          <t>ASCOPE</t>
        </is>
      </c>
      <c r="J80" s="81" t="inlineStr">
        <is>
          <t>DERECHA</t>
        </is>
      </c>
      <c r="K80" s="81" t="n"/>
      <c r="L80" s="81" t="inlineStr">
        <is>
          <t>HUARMEY-CHICAMA</t>
        </is>
      </c>
      <c r="M80" s="81" t="inlineStr">
        <is>
          <t>CHICAMA</t>
        </is>
      </c>
      <c r="N80" s="81" t="inlineStr">
        <is>
          <t>Unidad Hidrografica 13773</t>
        </is>
      </c>
      <c r="O80" s="81" t="n">
        <v>41806</v>
      </c>
      <c r="P80" s="81" t="n">
        <v>17</v>
      </c>
      <c r="Q80" s="81" t="n">
        <v>0</v>
      </c>
      <c r="R80" s="81" t="inlineStr">
        <is>
          <t>CASA GRANDE S.A.A. -3 SORCAPE PUQUIO</t>
        </is>
      </c>
      <c r="S80" s="82" t="inlineStr">
        <is>
          <t>TSE</t>
        </is>
      </c>
      <c r="T80" s="83" t="inlineStr">
        <is>
          <t>AGRÍCOLA</t>
        </is>
      </c>
      <c r="U80" s="84" t="n">
        <v>45426</v>
      </c>
      <c r="V80" s="83" t="n">
        <v>0.2</v>
      </c>
      <c r="W80" s="83" t="n">
        <v>4.22</v>
      </c>
      <c r="X80" s="83" t="n">
        <v>4.02</v>
      </c>
      <c r="Y80" s="76" t="n">
        <v>0</v>
      </c>
      <c r="Z80" s="443" t="n">
        <v>818</v>
      </c>
      <c r="AA80" s="442" t="n">
        <v>7.68</v>
      </c>
      <c r="AB80" s="443" t="n">
        <v>387</v>
      </c>
      <c r="AC80" s="442" t="n">
        <v>26.9</v>
      </c>
      <c r="AD80" s="80" t="n"/>
      <c r="AE80" s="81" t="inlineStr">
        <is>
          <t>VISITADO</t>
        </is>
      </c>
      <c r="AF80" s="82" t="inlineStr">
        <is>
          <t>2024-05-14T10:45:00.280</t>
        </is>
      </c>
      <c r="AG80" s="100" t="n">
        <v>2.94</v>
      </c>
      <c r="AH80" s="442" t="n">
        <v>1</v>
      </c>
      <c r="AI80" s="89" t="n">
        <v>6</v>
      </c>
      <c r="AJ80" s="444" t="n">
        <v>0.18</v>
      </c>
      <c r="AK80" s="91" t="n">
        <v>0.033</v>
      </c>
      <c r="AL80" s="92" t="inlineStr">
        <is>
          <t>(1)</t>
        </is>
      </c>
      <c r="AM80" s="445" t="n">
        <v>0.21</v>
      </c>
      <c r="AN80" s="444" t="n">
        <v>0.082</v>
      </c>
      <c r="AO80" s="140">
        <f>5*35</f>
        <v/>
      </c>
      <c r="AP80" s="96" t="inlineStr">
        <is>
          <t>*</t>
        </is>
      </c>
      <c r="AQ80" s="97" t="inlineStr">
        <is>
          <t>*</t>
        </is>
      </c>
      <c r="AR80" s="97" t="inlineStr">
        <is>
          <t>*</t>
        </is>
      </c>
    </row>
    <row r="81" ht="20.25" customHeight="1">
      <c r="B81" s="76" t="n">
        <v>73</v>
      </c>
      <c r="C81" s="77" t="n">
        <v>702760</v>
      </c>
      <c r="D81" s="139" t="n">
        <v>9145494</v>
      </c>
      <c r="E81" s="83" t="inlineStr">
        <is>
          <t>CH-124A</t>
        </is>
      </c>
      <c r="F81" s="80" t="inlineStr">
        <is>
          <t>IRHS-13-02-08-90</t>
        </is>
      </c>
      <c r="G81" s="81" t="inlineStr">
        <is>
          <t>LA LIBERTAD</t>
        </is>
      </c>
      <c r="H81" s="81" t="inlineStr">
        <is>
          <t>ASCOPE</t>
        </is>
      </c>
      <c r="I81" s="81" t="inlineStr">
        <is>
          <t>CASA GRANDE</t>
        </is>
      </c>
      <c r="J81" s="81" t="inlineStr">
        <is>
          <t>DERECHA</t>
        </is>
      </c>
      <c r="K81" s="81" t="n"/>
      <c r="L81" s="81" t="inlineStr">
        <is>
          <t>HUARMEY-CHICAMA</t>
        </is>
      </c>
      <c r="M81" s="81" t="inlineStr">
        <is>
          <t>CHICAMA</t>
        </is>
      </c>
      <c r="N81" s="81" t="inlineStr">
        <is>
          <t>Unidad Hidrografica 13773</t>
        </is>
      </c>
      <c r="O81" s="81" t="n">
        <v>41806</v>
      </c>
      <c r="P81" s="81" t="n">
        <v>17</v>
      </c>
      <c r="Q81" s="81" t="n">
        <v>0</v>
      </c>
      <c r="R81" s="81" t="inlineStr">
        <is>
          <t>CASA GRANDE S.A.A. 8 FACALA ENTRADA</t>
        </is>
      </c>
      <c r="S81" s="82" t="inlineStr">
        <is>
          <t>TSE</t>
        </is>
      </c>
      <c r="T81" s="83" t="inlineStr">
        <is>
          <t>AGRÍCOLA</t>
        </is>
      </c>
      <c r="U81" s="84" t="n">
        <v>45425</v>
      </c>
      <c r="V81" s="83" t="n">
        <v>0.4</v>
      </c>
      <c r="W81" s="83" t="n">
        <v>19</v>
      </c>
      <c r="X81" s="83" t="n">
        <v>18.6</v>
      </c>
      <c r="Y81" s="76" t="n">
        <v>0</v>
      </c>
      <c r="Z81" s="443" t="n">
        <v>809</v>
      </c>
      <c r="AA81" s="442" t="n">
        <v>7.82</v>
      </c>
      <c r="AB81" s="443" t="n">
        <v>396</v>
      </c>
      <c r="AC81" s="442" t="n">
        <v>25.1</v>
      </c>
      <c r="AD81" s="80" t="n"/>
      <c r="AE81" s="81" t="inlineStr">
        <is>
          <t>VISITADO</t>
        </is>
      </c>
      <c r="AF81" s="82" t="inlineStr">
        <is>
          <t>2024-05-13T13:32:17.549</t>
        </is>
      </c>
      <c r="AG81" s="88" t="n">
        <v>8.98</v>
      </c>
      <c r="AH81" s="442" t="n">
        <v>1</v>
      </c>
      <c r="AI81" s="89" t="n">
        <v>8</v>
      </c>
      <c r="AJ81" s="444" t="n">
        <v>0.21</v>
      </c>
      <c r="AK81" s="91" t="n">
        <v>0.031</v>
      </c>
      <c r="AL81" s="92" t="inlineStr">
        <is>
          <t>(1)</t>
        </is>
      </c>
      <c r="AM81" s="445" t="n">
        <v>0.22</v>
      </c>
      <c r="AN81" s="444" t="n">
        <v>0.132</v>
      </c>
      <c r="AO81" s="140">
        <f>5*41</f>
        <v/>
      </c>
      <c r="AP81" s="96" t="inlineStr">
        <is>
          <t>*</t>
        </is>
      </c>
      <c r="AQ81" s="97" t="inlineStr">
        <is>
          <t>*</t>
        </is>
      </c>
      <c r="AR81" s="97" t="inlineStr">
        <is>
          <t>*</t>
        </is>
      </c>
    </row>
    <row r="82" ht="20.25" customHeight="1">
      <c r="B82" s="76" t="n">
        <v>74</v>
      </c>
      <c r="C82" s="77" t="n">
        <v>701176</v>
      </c>
      <c r="D82" s="139" t="n">
        <v>9141222</v>
      </c>
      <c r="E82" s="83" t="inlineStr">
        <is>
          <t>CH-145A-2</t>
        </is>
      </c>
      <c r="F82" s="80" t="inlineStr">
        <is>
          <t>IRHS-13-02-04-401</t>
        </is>
      </c>
      <c r="G82" s="81" t="inlineStr">
        <is>
          <t>LA LIBERTAD</t>
        </is>
      </c>
      <c r="H82" s="81" t="inlineStr">
        <is>
          <t>ASCOPE</t>
        </is>
      </c>
      <c r="I82" s="81" t="inlineStr">
        <is>
          <t>CASA GRANDE</t>
        </is>
      </c>
      <c r="J82" s="81" t="inlineStr">
        <is>
          <t>DERECHA</t>
        </is>
      </c>
      <c r="K82" s="81" t="n"/>
      <c r="L82" s="81" t="inlineStr">
        <is>
          <t>HUARMEY-CHICAMA</t>
        </is>
      </c>
      <c r="M82" s="81" t="inlineStr">
        <is>
          <t>CHICAMA</t>
        </is>
      </c>
      <c r="N82" s="81" t="inlineStr">
        <is>
          <t>Unidad Hidrografica 13773</t>
        </is>
      </c>
      <c r="O82" s="81" t="n">
        <v>41878</v>
      </c>
      <c r="P82" s="81" t="n">
        <v>17</v>
      </c>
      <c r="Q82" s="81" t="n">
        <v>0</v>
      </c>
      <c r="R82" s="81" t="inlineStr">
        <is>
          <t>EMPRESA AGROINDUSTRIAL, CASA GRANDE S.A.</t>
        </is>
      </c>
      <c r="S82" s="82" t="inlineStr">
        <is>
          <t>TSE</t>
        </is>
      </c>
      <c r="T82" s="83" t="inlineStr">
        <is>
          <t>AGRÍCOLA</t>
        </is>
      </c>
      <c r="U82" s="84" t="n">
        <v>45426</v>
      </c>
      <c r="V82" s="83" t="n">
        <v>0.25</v>
      </c>
      <c r="W82" s="83" t="n">
        <v>0.91</v>
      </c>
      <c r="X82" s="83" t="n">
        <v>0.66</v>
      </c>
      <c r="Y82" s="76" t="n">
        <v>0</v>
      </c>
      <c r="Z82" s="443" t="n">
        <v>1011</v>
      </c>
      <c r="AA82" s="442" t="n">
        <v>7.81</v>
      </c>
      <c r="AB82" s="443" t="n">
        <v>508</v>
      </c>
      <c r="AC82" s="442" t="n">
        <v>24</v>
      </c>
      <c r="AD82" s="80" t="n"/>
      <c r="AE82" s="81" t="inlineStr">
        <is>
          <t>VISITADO</t>
        </is>
      </c>
      <c r="AF82" s="82" t="inlineStr">
        <is>
          <t>2024-05-14T10:03:50.698</t>
        </is>
      </c>
      <c r="AG82" s="88" t="n">
        <v>10.6</v>
      </c>
      <c r="AH82" s="442" t="n">
        <v>0.8</v>
      </c>
      <c r="AI82" s="89" t="n">
        <v>9</v>
      </c>
      <c r="AJ82" s="444" t="n">
        <v>0.34</v>
      </c>
      <c r="AK82" s="91" t="n">
        <v>0.029</v>
      </c>
      <c r="AL82" s="92" t="inlineStr">
        <is>
          <t>(1)</t>
        </is>
      </c>
      <c r="AM82" s="445" t="n">
        <v>0.18</v>
      </c>
      <c r="AN82" s="444" t="n">
        <v>0.082</v>
      </c>
      <c r="AO82" s="140">
        <f>5*38</f>
        <v/>
      </c>
      <c r="AP82" s="96" t="inlineStr">
        <is>
          <t>*</t>
        </is>
      </c>
      <c r="AQ82" s="97" t="inlineStr">
        <is>
          <t>*</t>
        </is>
      </c>
      <c r="AR82" s="97" t="inlineStr">
        <is>
          <t>*</t>
        </is>
      </c>
    </row>
    <row r="83" ht="20.25" customHeight="1">
      <c r="B83" s="76" t="n">
        <v>75</v>
      </c>
      <c r="C83" s="77" t="n">
        <v>702628</v>
      </c>
      <c r="D83" s="139" t="n">
        <v>9140011</v>
      </c>
      <c r="E83" s="83" t="inlineStr">
        <is>
          <t>CH-177B</t>
        </is>
      </c>
      <c r="F83" s="80" t="inlineStr">
        <is>
          <t>IRHS-13-02-03-407</t>
        </is>
      </c>
      <c r="G83" s="81" t="inlineStr">
        <is>
          <t>LA LIBERTAD</t>
        </is>
      </c>
      <c r="H83" s="81" t="inlineStr">
        <is>
          <t>ASCOPE</t>
        </is>
      </c>
      <c r="I83" s="81" t="inlineStr">
        <is>
          <t>CHOCOPE</t>
        </is>
      </c>
      <c r="J83" s="81" t="inlineStr">
        <is>
          <t>DERECHA</t>
        </is>
      </c>
      <c r="K83" s="81" t="n"/>
      <c r="L83" s="81" t="inlineStr">
        <is>
          <t>HUARMEY-CHICAMA</t>
        </is>
      </c>
      <c r="M83" s="81" t="inlineStr">
        <is>
          <t>CHICAMA</t>
        </is>
      </c>
      <c r="N83" s="81" t="inlineStr">
        <is>
          <t>Intercuenca Chicama 137721</t>
        </is>
      </c>
      <c r="O83" s="81" t="n"/>
      <c r="P83" s="81" t="n">
        <v>17</v>
      </c>
      <c r="Q83" s="81" t="n">
        <v>0</v>
      </c>
      <c r="R83" s="81" t="inlineStr">
        <is>
          <t>EMPRESA AGROINDUSTRIAL, CASA GRANDE S.A.</t>
        </is>
      </c>
      <c r="S83" s="82" t="inlineStr">
        <is>
          <t>TSE</t>
        </is>
      </c>
      <c r="T83" s="83" t="inlineStr">
        <is>
          <t>AGRÍCOLA</t>
        </is>
      </c>
      <c r="U83" s="84" t="n">
        <v>45426</v>
      </c>
      <c r="V83" s="83" t="n">
        <v>0.3</v>
      </c>
      <c r="W83" s="83" t="n">
        <v>3.61</v>
      </c>
      <c r="X83" s="83" t="n">
        <v>3.31</v>
      </c>
      <c r="Y83" s="76" t="n">
        <v>0</v>
      </c>
      <c r="Z83" s="443" t="n">
        <v>940</v>
      </c>
      <c r="AA83" s="442" t="n">
        <v>7.9</v>
      </c>
      <c r="AB83" s="443" t="n">
        <v>470</v>
      </c>
      <c r="AC83" s="442" t="n">
        <v>24.3</v>
      </c>
      <c r="AD83" s="80" t="n"/>
      <c r="AE83" s="81" t="inlineStr">
        <is>
          <t>VISITADO</t>
        </is>
      </c>
      <c r="AF83" s="82" t="inlineStr">
        <is>
          <t>2024-05-14T09:49:41.089</t>
        </is>
      </c>
      <c r="AG83" s="88" t="n">
        <v>7.83</v>
      </c>
      <c r="AH83" s="442" t="n">
        <v>1</v>
      </c>
      <c r="AI83" s="89" t="n">
        <v>4</v>
      </c>
      <c r="AJ83" s="444" t="n">
        <v>0.89</v>
      </c>
      <c r="AK83" s="91" t="n">
        <v>0.021</v>
      </c>
      <c r="AL83" s="92" t="inlineStr">
        <is>
          <t>(1)</t>
        </is>
      </c>
      <c r="AM83" s="445" t="n">
        <v>0.47</v>
      </c>
      <c r="AN83" s="444" t="n">
        <v>0.132</v>
      </c>
      <c r="AO83" s="140">
        <f>5*42</f>
        <v/>
      </c>
      <c r="AP83" s="96" t="inlineStr">
        <is>
          <t>*</t>
        </is>
      </c>
      <c r="AQ83" s="97" t="inlineStr">
        <is>
          <t>*</t>
        </is>
      </c>
      <c r="AR83" s="97" t="inlineStr">
        <is>
          <t>*</t>
        </is>
      </c>
    </row>
    <row r="84" ht="20.25" customHeight="1">
      <c r="B84" s="76" t="n">
        <v>76</v>
      </c>
      <c r="C84" s="77" t="n">
        <v>701078</v>
      </c>
      <c r="D84" s="139" t="n">
        <v>9139455</v>
      </c>
      <c r="E84" s="83" t="inlineStr">
        <is>
          <t>CH-177D</t>
        </is>
      </c>
      <c r="F84" s="80" t="inlineStr">
        <is>
          <t>IRHS-13-02-03-394</t>
        </is>
      </c>
      <c r="G84" s="81" t="inlineStr">
        <is>
          <t>LA LIBERTAD</t>
        </is>
      </c>
      <c r="H84" s="81" t="inlineStr">
        <is>
          <t>ASCOPE</t>
        </is>
      </c>
      <c r="I84" s="81" t="inlineStr">
        <is>
          <t>CHOCOPE</t>
        </is>
      </c>
      <c r="J84" s="81" t="inlineStr">
        <is>
          <t>DERECHA</t>
        </is>
      </c>
      <c r="K84" s="81" t="n"/>
      <c r="L84" s="81" t="inlineStr">
        <is>
          <t>HUARMEY-CHICAMA</t>
        </is>
      </c>
      <c r="M84" s="81" t="inlineStr">
        <is>
          <t>CHICAMA</t>
        </is>
      </c>
      <c r="N84" s="81" t="inlineStr">
        <is>
          <t>Unidad Hidrografica 13773</t>
        </is>
      </c>
      <c r="O84" s="81" t="n"/>
      <c r="P84" s="81" t="n">
        <v>17</v>
      </c>
      <c r="Q84" s="81" t="n">
        <v>0</v>
      </c>
      <c r="R84" s="81" t="inlineStr">
        <is>
          <t>EMPRESA AGROINDUSTRIAL, CASA GRANDE S.A.</t>
        </is>
      </c>
      <c r="S84" s="82" t="inlineStr">
        <is>
          <t>TSE</t>
        </is>
      </c>
      <c r="T84" s="83" t="inlineStr">
        <is>
          <t>AGRÍCOLA</t>
        </is>
      </c>
      <c r="U84" s="84" t="n">
        <v>45426</v>
      </c>
      <c r="V84" s="83" t="n">
        <v>0.3</v>
      </c>
      <c r="W84" s="83" t="n">
        <v>6.12</v>
      </c>
      <c r="X84" s="83" t="n">
        <v>5.82</v>
      </c>
      <c r="Y84" s="76" t="n">
        <v>0</v>
      </c>
      <c r="Z84" s="443" t="n">
        <v>1085</v>
      </c>
      <c r="AA84" s="442" t="n">
        <v>7.49</v>
      </c>
      <c r="AB84" s="443" t="n">
        <v>549</v>
      </c>
      <c r="AC84" s="442" t="n">
        <v>23.7</v>
      </c>
      <c r="AD84" s="80" t="inlineStr">
        <is>
          <t>NUEVO</t>
        </is>
      </c>
      <c r="AE84" s="81" t="inlineStr">
        <is>
          <t>VISITADO</t>
        </is>
      </c>
      <c r="AF84" s="82" t="inlineStr">
        <is>
          <t>2024-05-14T09:38:21.298</t>
        </is>
      </c>
      <c r="AG84" s="100" t="n">
        <v>2.72</v>
      </c>
      <c r="AH84" s="442" t="n">
        <v>1</v>
      </c>
      <c r="AI84" s="89" t="n">
        <v>3</v>
      </c>
      <c r="AJ84" s="444" t="n">
        <v>1.14</v>
      </c>
      <c r="AK84" s="91" t="n">
        <v>0.018</v>
      </c>
      <c r="AL84" s="92" t="inlineStr">
        <is>
          <t>(1)</t>
        </is>
      </c>
      <c r="AM84" s="445" t="n">
        <v>0.25</v>
      </c>
      <c r="AN84" s="444" t="n">
        <v>0.056</v>
      </c>
      <c r="AO84" s="140">
        <f>5*40</f>
        <v/>
      </c>
      <c r="AP84" s="96" t="inlineStr">
        <is>
          <t>*</t>
        </is>
      </c>
      <c r="AQ84" s="97" t="inlineStr">
        <is>
          <t>*</t>
        </is>
      </c>
      <c r="AR84" s="97" t="inlineStr">
        <is>
          <t>*</t>
        </is>
      </c>
    </row>
    <row r="85" ht="20.25" customFormat="1" customHeight="1" s="54">
      <c r="B85" s="104" t="n">
        <v>77</v>
      </c>
      <c r="C85" s="105" t="n">
        <v>684927.6618</v>
      </c>
      <c r="D85" s="138" t="n">
        <v>9143278.880100001</v>
      </c>
      <c r="E85" s="111" t="inlineStr">
        <is>
          <t>CH-285D</t>
        </is>
      </c>
      <c r="F85" s="108" t="n"/>
      <c r="G85" s="109" t="inlineStr">
        <is>
          <t>LA LIBERTAD</t>
        </is>
      </c>
      <c r="H85" s="109" t="inlineStr">
        <is>
          <t>ASCOPE</t>
        </is>
      </c>
      <c r="I85" s="109" t="inlineStr">
        <is>
          <t>RAZURI</t>
        </is>
      </c>
      <c r="J85" s="109" t="inlineStr">
        <is>
          <t>DERECHA</t>
        </is>
      </c>
      <c r="K85" s="109" t="n"/>
      <c r="L85" s="109" t="inlineStr">
        <is>
          <t>HUARMEY-CHICAMA</t>
        </is>
      </c>
      <c r="M85" s="109" t="inlineStr">
        <is>
          <t>CHICAMA</t>
        </is>
      </c>
      <c r="N85" s="109" t="inlineStr">
        <is>
          <t>Intercuenca 13773</t>
        </is>
      </c>
      <c r="O85" s="109" t="n"/>
      <c r="P85" s="109" t="n">
        <v>17</v>
      </c>
      <c r="Q85" s="109" t="n">
        <v>0</v>
      </c>
      <c r="R85" s="109" t="n"/>
      <c r="S85" s="110" t="inlineStr">
        <is>
          <t>TASE</t>
        </is>
      </c>
      <c r="T85" s="111" t="inlineStr">
        <is>
          <t>CONSUMO HUMANO</t>
        </is>
      </c>
      <c r="U85" s="112" t="n">
        <v>45418</v>
      </c>
      <c r="V85" s="111" t="n">
        <v>0.85</v>
      </c>
      <c r="W85" s="111" t="n">
        <v>0.86</v>
      </c>
      <c r="X85" s="111" t="n">
        <v>0.01</v>
      </c>
      <c r="Y85" s="104" t="n">
        <v>0</v>
      </c>
      <c r="Z85" s="448" t="n">
        <v>1989</v>
      </c>
      <c r="AA85" s="449" t="n">
        <v>7.51</v>
      </c>
      <c r="AB85" s="448" t="n">
        <v>1011</v>
      </c>
      <c r="AC85" s="449" t="n">
        <v>25</v>
      </c>
      <c r="AD85" s="108" t="inlineStr">
        <is>
          <t>POZO TOMA LOS LEONES CAMBIO DE PR</t>
        </is>
      </c>
      <c r="AE85" s="109" t="inlineStr">
        <is>
          <t>VISITADO</t>
        </is>
      </c>
      <c r="AF85" s="110" t="inlineStr">
        <is>
          <t>2024-05-06T13:10:47.033</t>
        </is>
      </c>
      <c r="AG85" s="115" t="n">
        <v>2.7</v>
      </c>
      <c r="AH85" s="449" t="n">
        <v>0.7</v>
      </c>
      <c r="AI85" s="126" t="n">
        <v>9</v>
      </c>
      <c r="AJ85" s="450" t="n">
        <v>1.24</v>
      </c>
      <c r="AK85" s="118" t="n">
        <v>0.028</v>
      </c>
      <c r="AL85" s="119" t="inlineStr">
        <is>
          <t>(1)</t>
        </is>
      </c>
      <c r="AM85" s="451" t="n">
        <v>0.17</v>
      </c>
      <c r="AN85" s="118" t="n">
        <v>0.025</v>
      </c>
      <c r="AO85" s="141">
        <f>5*39</f>
        <v/>
      </c>
      <c r="AP85" s="123" t="n">
        <v>100</v>
      </c>
      <c r="AQ85" s="124" t="n">
        <v>0</v>
      </c>
      <c r="AR85" s="124" t="n">
        <v>0</v>
      </c>
    </row>
    <row r="86" ht="20.25" customHeight="1">
      <c r="B86" s="76" t="n">
        <v>78</v>
      </c>
      <c r="C86" s="77" t="n">
        <v>696465</v>
      </c>
      <c r="D86" s="139" t="n">
        <v>9145103</v>
      </c>
      <c r="E86" s="83" t="inlineStr">
        <is>
          <t>CH-166A</t>
        </is>
      </c>
      <c r="F86" s="80" t="inlineStr">
        <is>
          <t>IRHS-13-02-08-6</t>
        </is>
      </c>
      <c r="G86" s="81" t="inlineStr">
        <is>
          <t>LA LIBERTAD</t>
        </is>
      </c>
      <c r="H86" s="81" t="inlineStr">
        <is>
          <t>ASCOPE</t>
        </is>
      </c>
      <c r="I86" s="81" t="inlineStr">
        <is>
          <t>CASA GRANDE</t>
        </is>
      </c>
      <c r="J86" s="81" t="inlineStr">
        <is>
          <t>DERECHA</t>
        </is>
      </c>
      <c r="K86" s="81" t="n"/>
      <c r="L86" s="81" t="inlineStr">
        <is>
          <t>HUARMEY-CHICAMA</t>
        </is>
      </c>
      <c r="M86" s="81" t="inlineStr">
        <is>
          <t>CHICAMA</t>
        </is>
      </c>
      <c r="N86" s="81" t="inlineStr">
        <is>
          <t>Unidad Hidrografica 13773</t>
        </is>
      </c>
      <c r="O86" s="81" t="n">
        <v>41829</v>
      </c>
      <c r="P86" s="81" t="n">
        <v>17</v>
      </c>
      <c r="Q86" s="81" t="n">
        <v>0</v>
      </c>
      <c r="R86" s="81" t="inlineStr">
        <is>
          <t>JOSÉ LINARES CABANILLAS</t>
        </is>
      </c>
      <c r="S86" s="82" t="inlineStr">
        <is>
          <t>TASE</t>
        </is>
      </c>
      <c r="T86" s="83" t="inlineStr">
        <is>
          <t>ABANDONADO</t>
        </is>
      </c>
      <c r="U86" s="84" t="n">
        <v>45425</v>
      </c>
      <c r="V86" s="83" t="n">
        <v>0</v>
      </c>
      <c r="W86" s="83" t="n">
        <v>8.5</v>
      </c>
      <c r="X86" s="83" t="n">
        <v>8.5</v>
      </c>
      <c r="Y86" s="76" t="n">
        <v>0</v>
      </c>
      <c r="Z86" s="443" t="n">
        <v>1134</v>
      </c>
      <c r="AA86" s="442" t="n">
        <v>7.38</v>
      </c>
      <c r="AB86" s="443" t="n">
        <v>572</v>
      </c>
      <c r="AC86" s="442" t="n">
        <v>24.1</v>
      </c>
      <c r="AD86" s="80" t="n"/>
      <c r="AE86" s="81" t="inlineStr">
        <is>
          <t>VISITADO</t>
        </is>
      </c>
      <c r="AF86" s="82" t="inlineStr">
        <is>
          <t>2024-05-13T13:08:54.629</t>
        </is>
      </c>
      <c r="AG86" s="88" t="n">
        <v>16.3</v>
      </c>
      <c r="AH86" s="442" t="n">
        <v>1.3</v>
      </c>
      <c r="AI86" s="89" t="n">
        <v>4</v>
      </c>
      <c r="AJ86" s="444" t="n">
        <v>1.11</v>
      </c>
      <c r="AK86" s="91" t="n">
        <v>0.03</v>
      </c>
      <c r="AL86" s="92" t="inlineStr">
        <is>
          <t>(1)</t>
        </is>
      </c>
      <c r="AM86" s="445" t="n">
        <v>0.2</v>
      </c>
      <c r="AN86" s="444" t="n">
        <v>0.055</v>
      </c>
      <c r="AO86" s="140">
        <f>5*38</f>
        <v/>
      </c>
      <c r="AP86" s="96" t="inlineStr">
        <is>
          <t>*</t>
        </is>
      </c>
      <c r="AQ86" s="97" t="inlineStr">
        <is>
          <t>*</t>
        </is>
      </c>
      <c r="AR86" s="97" t="inlineStr">
        <is>
          <t>*</t>
        </is>
      </c>
    </row>
    <row r="87" ht="20.25" customHeight="1">
      <c r="B87" s="76" t="n">
        <v>79</v>
      </c>
      <c r="C87" s="77" t="n">
        <v>694849</v>
      </c>
      <c r="D87" s="139" t="n">
        <v>9147428</v>
      </c>
      <c r="E87" s="83" t="inlineStr">
        <is>
          <t>CH-166B</t>
        </is>
      </c>
      <c r="F87" s="80" t="inlineStr">
        <is>
          <t>IRHS-13-02-08-02</t>
        </is>
      </c>
      <c r="G87" s="81" t="inlineStr">
        <is>
          <t>LA LIBERTAD</t>
        </is>
      </c>
      <c r="H87" s="81" t="inlineStr">
        <is>
          <t>ASCOPE</t>
        </is>
      </c>
      <c r="I87" s="81" t="inlineStr">
        <is>
          <t>CASA GRANDE</t>
        </is>
      </c>
      <c r="J87" s="81" t="inlineStr">
        <is>
          <t>DERECHA</t>
        </is>
      </c>
      <c r="K87" s="81" t="n"/>
      <c r="L87" s="81" t="inlineStr">
        <is>
          <t>HUARMEY-CHICAMA</t>
        </is>
      </c>
      <c r="M87" s="81" t="inlineStr">
        <is>
          <t>CHICAMA</t>
        </is>
      </c>
      <c r="N87" s="81" t="inlineStr">
        <is>
          <t>Intercuenca 13773</t>
        </is>
      </c>
      <c r="O87" s="81" t="inlineStr">
        <is>
          <t>1899-12-30</t>
        </is>
      </c>
      <c r="P87" s="81" t="n">
        <v>17</v>
      </c>
      <c r="Q87" s="81" t="n">
        <v>0</v>
      </c>
      <c r="R87" s="81" t="inlineStr">
        <is>
          <t>LEON LEON, MODESTO GUZMAN</t>
        </is>
      </c>
      <c r="S87" s="82" t="inlineStr">
        <is>
          <t>TASE</t>
        </is>
      </c>
      <c r="T87" s="83" t="inlineStr">
        <is>
          <t>AGRÍCOLA</t>
        </is>
      </c>
      <c r="U87" s="84" t="n">
        <v>45425</v>
      </c>
      <c r="V87" s="83" t="n">
        <v>-0.6</v>
      </c>
      <c r="W87" s="83" t="n">
        <v>2.32</v>
      </c>
      <c r="X87" s="83" t="n">
        <v>2.92</v>
      </c>
      <c r="Y87" s="76" t="n">
        <v>0</v>
      </c>
      <c r="Z87" s="443" t="n">
        <v>1055</v>
      </c>
      <c r="AA87" s="442" t="n">
        <v>7.21</v>
      </c>
      <c r="AB87" s="443" t="n">
        <v>528</v>
      </c>
      <c r="AC87" s="442" t="n">
        <v>24.4</v>
      </c>
      <c r="AD87" s="80" t="n"/>
      <c r="AE87" s="81" t="inlineStr">
        <is>
          <t>VISITADO</t>
        </is>
      </c>
      <c r="AF87" s="82" t="inlineStr">
        <is>
          <t>2024-05-13T12:22:24.349</t>
        </is>
      </c>
      <c r="AG87" s="100" t="n">
        <v>1.29</v>
      </c>
      <c r="AH87" s="442" t="n">
        <v>0.8</v>
      </c>
      <c r="AI87" s="89" t="n">
        <v>6</v>
      </c>
      <c r="AJ87" s="444" t="n">
        <v>0.7</v>
      </c>
      <c r="AK87" s="91" t="n">
        <v>0.023</v>
      </c>
      <c r="AL87" s="92" t="inlineStr">
        <is>
          <t>(1)</t>
        </is>
      </c>
      <c r="AM87" s="445" t="n">
        <v>0.21</v>
      </c>
      <c r="AN87" s="444" t="n">
        <v>0.053</v>
      </c>
      <c r="AO87" s="140">
        <f>5*40</f>
        <v/>
      </c>
      <c r="AP87" s="96" t="inlineStr">
        <is>
          <t>*</t>
        </is>
      </c>
      <c r="AQ87" s="97" t="inlineStr">
        <is>
          <t>*</t>
        </is>
      </c>
      <c r="AR87" s="97" t="inlineStr">
        <is>
          <t>*</t>
        </is>
      </c>
    </row>
    <row r="88" ht="20.25" customHeight="1">
      <c r="B88" s="76" t="n">
        <v>80</v>
      </c>
      <c r="C88" s="77" t="n">
        <v>693417</v>
      </c>
      <c r="D88" s="139" t="n">
        <v>9149723</v>
      </c>
      <c r="E88" s="83" t="inlineStr">
        <is>
          <t>CH-134</t>
        </is>
      </c>
      <c r="F88" s="80" t="inlineStr">
        <is>
          <t>IRHS-13-02-08-14</t>
        </is>
      </c>
      <c r="G88" s="81" t="inlineStr">
        <is>
          <t>LA LIBERTAD</t>
        </is>
      </c>
      <c r="H88" s="81" t="inlineStr">
        <is>
          <t>ASCOPE</t>
        </is>
      </c>
      <c r="I88" s="81" t="inlineStr">
        <is>
          <t>CASA GRANDE</t>
        </is>
      </c>
      <c r="J88" s="81" t="inlineStr">
        <is>
          <t>DERECHA</t>
        </is>
      </c>
      <c r="K88" s="81" t="n"/>
      <c r="L88" s="81" t="inlineStr">
        <is>
          <t>HUARMEY-CHICAMA</t>
        </is>
      </c>
      <c r="M88" s="81" t="inlineStr">
        <is>
          <t>CHICAMA</t>
        </is>
      </c>
      <c r="N88" s="81" t="inlineStr">
        <is>
          <t>Unidad Hidrografica 13773</t>
        </is>
      </c>
      <c r="O88" s="81" t="n">
        <v>41807</v>
      </c>
      <c r="P88" s="81" t="n">
        <v>17</v>
      </c>
      <c r="Q88" s="81" t="n">
        <v>0</v>
      </c>
      <c r="R88" s="81" t="inlineStr">
        <is>
          <t>EMPRESA AGROINDUSTRIAL, CASA GRANDE S.A.A.-1 MANPUSTO</t>
        </is>
      </c>
      <c r="S88" s="82" t="inlineStr">
        <is>
          <t>TSE</t>
        </is>
      </c>
      <c r="T88" s="83" t="inlineStr">
        <is>
          <t>AGRICOLA</t>
        </is>
      </c>
      <c r="U88" s="84" t="n">
        <v>45425</v>
      </c>
      <c r="V88" s="83" t="n">
        <v>0.2</v>
      </c>
      <c r="W88" s="83" t="n">
        <v>4.53</v>
      </c>
      <c r="X88" s="83" t="n">
        <v>4.33</v>
      </c>
      <c r="Y88" s="76" t="n">
        <v>0</v>
      </c>
      <c r="Z88" s="443" t="n">
        <v>579</v>
      </c>
      <c r="AA88" s="442" t="n">
        <v>7.93</v>
      </c>
      <c r="AB88" s="443" t="n">
        <v>285</v>
      </c>
      <c r="AC88" s="442" t="n">
        <v>24.5</v>
      </c>
      <c r="AD88" s="80" t="inlineStr">
        <is>
          <t>BOMBEANDO</t>
        </is>
      </c>
      <c r="AE88" s="81" t="inlineStr">
        <is>
          <t>VISITADO</t>
        </is>
      </c>
      <c r="AF88" s="82" t="inlineStr">
        <is>
          <t>2024-05-13T12:05:54.758</t>
        </is>
      </c>
      <c r="AG88" s="88" t="n">
        <v>18.5</v>
      </c>
      <c r="AH88" s="442" t="n">
        <v>5</v>
      </c>
      <c r="AI88" s="98" t="n">
        <v>11</v>
      </c>
      <c r="AJ88" s="444" t="n">
        <v>0.23</v>
      </c>
      <c r="AK88" s="91" t="n">
        <v>0.04</v>
      </c>
      <c r="AL88" s="92" t="inlineStr">
        <is>
          <t>(1)</t>
        </is>
      </c>
      <c r="AM88" s="445" t="n">
        <v>0.19</v>
      </c>
      <c r="AN88" s="444" t="n">
        <v>0.07000000000000001</v>
      </c>
      <c r="AO88" s="140">
        <f>5*39</f>
        <v/>
      </c>
      <c r="AP88" s="96" t="inlineStr">
        <is>
          <t>*</t>
        </is>
      </c>
      <c r="AQ88" s="97" t="inlineStr">
        <is>
          <t>*</t>
        </is>
      </c>
      <c r="AR88" s="97" t="inlineStr">
        <is>
          <t>*</t>
        </is>
      </c>
    </row>
    <row r="89" ht="20.25" customFormat="1" customHeight="1" s="54">
      <c r="B89" s="104" t="n">
        <v>81</v>
      </c>
      <c r="C89" s="105" t="n">
        <v>684644</v>
      </c>
      <c r="D89" s="138" t="n">
        <v>9148879</v>
      </c>
      <c r="E89" s="111" t="inlineStr">
        <is>
          <t>CH-79B</t>
        </is>
      </c>
      <c r="F89" s="108" t="inlineStr">
        <is>
          <t>IRHS-13-02-05-219</t>
        </is>
      </c>
      <c r="G89" s="109" t="inlineStr">
        <is>
          <t>LA LIBERTAD</t>
        </is>
      </c>
      <c r="H89" s="109" t="inlineStr">
        <is>
          <t>ASCOPE</t>
        </is>
      </c>
      <c r="I89" s="109" t="inlineStr">
        <is>
          <t>PAIJAN</t>
        </is>
      </c>
      <c r="J89" s="109" t="inlineStr">
        <is>
          <t>DERECHA</t>
        </is>
      </c>
      <c r="K89" s="109" t="n"/>
      <c r="L89" s="109" t="inlineStr">
        <is>
          <t>HUARMEY-CHICAMA</t>
        </is>
      </c>
      <c r="M89" s="109" t="inlineStr">
        <is>
          <t>CHICAMA</t>
        </is>
      </c>
      <c r="N89" s="109" t="inlineStr">
        <is>
          <t>Unidad Hidrografica 13773</t>
        </is>
      </c>
      <c r="O89" s="109" t="n"/>
      <c r="P89" s="109" t="n">
        <v>17</v>
      </c>
      <c r="Q89" s="109" t="n">
        <v>0</v>
      </c>
      <c r="R89" s="109" t="inlineStr">
        <is>
          <t>ANICETO NUÑEZ, SACRAMENTO BERNABE</t>
        </is>
      </c>
      <c r="S89" s="110" t="inlineStr">
        <is>
          <t>TACE</t>
        </is>
      </c>
      <c r="T89" s="111" t="inlineStr">
        <is>
          <t>CONSUMO HUMANO-AGRICOLA</t>
        </is>
      </c>
      <c r="U89" s="112" t="n">
        <v>45425</v>
      </c>
      <c r="V89" s="111" t="n">
        <v>0</v>
      </c>
      <c r="W89" s="111" t="n">
        <v>6.16</v>
      </c>
      <c r="X89" s="111" t="n">
        <v>6.16</v>
      </c>
      <c r="Y89" s="104" t="n">
        <v>0</v>
      </c>
      <c r="Z89" s="453" t="n">
        <v>1411</v>
      </c>
      <c r="AA89" s="449" t="n">
        <v>7.76</v>
      </c>
      <c r="AB89" s="453" t="n">
        <v>715</v>
      </c>
      <c r="AC89" s="449" t="n">
        <v>24.5</v>
      </c>
      <c r="AD89" s="108" t="n"/>
      <c r="AE89" s="109" t="inlineStr">
        <is>
          <t>VISITADO</t>
        </is>
      </c>
      <c r="AF89" s="110" t="inlineStr">
        <is>
          <t>2024-05-13T08:21:26.816</t>
        </is>
      </c>
      <c r="AG89" s="115" t="n">
        <v>3.68</v>
      </c>
      <c r="AH89" s="449" t="n">
        <v>1.1</v>
      </c>
      <c r="AI89" s="126" t="n">
        <v>2</v>
      </c>
      <c r="AJ89" s="450" t="n">
        <v>1.22</v>
      </c>
      <c r="AK89" s="118" t="n">
        <v>0.106</v>
      </c>
      <c r="AL89" s="119" t="inlineStr">
        <is>
          <t>(1)</t>
        </is>
      </c>
      <c r="AM89" s="451" t="n">
        <v>0.23</v>
      </c>
      <c r="AN89" s="118" t="n">
        <v>0.049</v>
      </c>
      <c r="AO89" s="141">
        <f>5*41</f>
        <v/>
      </c>
      <c r="AP89" s="123" t="n">
        <v>150</v>
      </c>
      <c r="AQ89" s="151" t="n">
        <v>10</v>
      </c>
      <c r="AR89" s="124" t="n">
        <v>0</v>
      </c>
    </row>
    <row r="90" ht="20.25" customFormat="1" customHeight="1" s="54">
      <c r="B90" s="104" t="n">
        <v>82</v>
      </c>
      <c r="C90" s="105" t="n">
        <v>692578</v>
      </c>
      <c r="D90" s="138" t="n">
        <v>9153614</v>
      </c>
      <c r="E90" s="111" t="inlineStr">
        <is>
          <t>CH-238A</t>
        </is>
      </c>
      <c r="F90" s="108" t="inlineStr">
        <is>
          <t>IRHS-13-02-08-203</t>
        </is>
      </c>
      <c r="G90" s="109" t="inlineStr">
        <is>
          <t>LA LIBERTAD</t>
        </is>
      </c>
      <c r="H90" s="109" t="inlineStr">
        <is>
          <t>ASCOPE</t>
        </is>
      </c>
      <c r="I90" s="109" t="inlineStr">
        <is>
          <t>CASA GRANDE</t>
        </is>
      </c>
      <c r="J90" s="109" t="inlineStr">
        <is>
          <t>DERECHA</t>
        </is>
      </c>
      <c r="K90" s="109" t="n"/>
      <c r="L90" s="109" t="inlineStr">
        <is>
          <t>HUARMEY-CHICAMA</t>
        </is>
      </c>
      <c r="M90" s="109" t="inlineStr">
        <is>
          <t>CHICAMA</t>
        </is>
      </c>
      <c r="N90" s="109" t="inlineStr">
        <is>
          <t>Unidad Hidrografica 13773</t>
        </is>
      </c>
      <c r="O90" s="109" t="n">
        <v>41907</v>
      </c>
      <c r="P90" s="109" t="n">
        <v>17</v>
      </c>
      <c r="Q90" s="109" t="n">
        <v>0</v>
      </c>
      <c r="R90" s="109" t="inlineStr">
        <is>
          <t>ANTONIA TOCAS CAZAS</t>
        </is>
      </c>
      <c r="S90" s="110" t="inlineStr">
        <is>
          <t>TACE</t>
        </is>
      </c>
      <c r="T90" s="111" t="inlineStr">
        <is>
          <t>CONSUMO HUMANO-AGRICOLA</t>
        </is>
      </c>
      <c r="U90" s="112" t="n">
        <v>45425</v>
      </c>
      <c r="V90" s="111" t="n">
        <v>0</v>
      </c>
      <c r="W90" s="111" t="n">
        <v>6.25</v>
      </c>
      <c r="X90" s="111" t="n">
        <v>6.25</v>
      </c>
      <c r="Y90" s="104" t="n">
        <v>0</v>
      </c>
      <c r="Z90" s="453" t="n">
        <v>730</v>
      </c>
      <c r="AA90" s="449" t="n">
        <v>7.91</v>
      </c>
      <c r="AB90" s="453" t="n">
        <v>358</v>
      </c>
      <c r="AC90" s="449" t="n">
        <v>24.7</v>
      </c>
      <c r="AD90" s="108" t="inlineStr">
        <is>
          <t>CONSUMO DE ANIMALES</t>
        </is>
      </c>
      <c r="AE90" s="109" t="inlineStr">
        <is>
          <t>VISITADO</t>
        </is>
      </c>
      <c r="AF90" s="110" t="inlineStr">
        <is>
          <t>2024-05-13T11:24:33.217</t>
        </is>
      </c>
      <c r="AG90" s="115" t="n">
        <v>3.66</v>
      </c>
      <c r="AH90" s="449" t="n">
        <v>1.3</v>
      </c>
      <c r="AI90" s="126" t="n">
        <v>6</v>
      </c>
      <c r="AJ90" s="450" t="n">
        <v>0.29</v>
      </c>
      <c r="AK90" s="118" t="n">
        <v>0.026</v>
      </c>
      <c r="AL90" s="119" t="inlineStr">
        <is>
          <t>(1)</t>
        </is>
      </c>
      <c r="AM90" s="451" t="n">
        <v>0.57</v>
      </c>
      <c r="AN90" s="450" t="n">
        <v>0.052</v>
      </c>
      <c r="AO90" s="141">
        <f>5*43</f>
        <v/>
      </c>
      <c r="AP90" s="123" t="n">
        <v>80</v>
      </c>
      <c r="AQ90" s="124" t="n">
        <v>0</v>
      </c>
      <c r="AR90" s="124" t="n">
        <v>0</v>
      </c>
    </row>
    <row r="91" ht="20.25" customFormat="1" customHeight="1" s="54">
      <c r="B91" s="104" t="n">
        <v>83</v>
      </c>
      <c r="C91" s="105" t="n">
        <v>691929.2842</v>
      </c>
      <c r="D91" s="138" t="n">
        <v>9155511.3924</v>
      </c>
      <c r="E91" s="111" t="inlineStr">
        <is>
          <t>CH-144A</t>
        </is>
      </c>
      <c r="F91" s="108" t="inlineStr">
        <is>
          <t>IRHS-13-02-08-356</t>
        </is>
      </c>
      <c r="G91" s="109" t="inlineStr">
        <is>
          <t>LA LIBERTAD</t>
        </is>
      </c>
      <c r="H91" s="109" t="inlineStr">
        <is>
          <t>ASCOPE</t>
        </is>
      </c>
      <c r="I91" s="109" t="inlineStr">
        <is>
          <t>CASA GRANDE</t>
        </is>
      </c>
      <c r="J91" s="109" t="inlineStr">
        <is>
          <t>DERECHA</t>
        </is>
      </c>
      <c r="K91" s="109" t="n"/>
      <c r="L91" s="109" t="inlineStr">
        <is>
          <t>HUARMEY-CHICAMA</t>
        </is>
      </c>
      <c r="M91" s="109" t="inlineStr">
        <is>
          <t>CHICAMA</t>
        </is>
      </c>
      <c r="N91" s="109" t="inlineStr">
        <is>
          <t>Unidad Hidrografica 13773</t>
        </is>
      </c>
      <c r="O91" s="109" t="n"/>
      <c r="P91" s="109" t="n">
        <v>17</v>
      </c>
      <c r="Q91" s="109" t="n">
        <v>0</v>
      </c>
      <c r="R91" s="109" t="inlineStr">
        <is>
          <t>GUARNIZ PLASENCIA, REYNA ISABEL</t>
        </is>
      </c>
      <c r="S91" s="110" t="inlineStr">
        <is>
          <t>TACE</t>
        </is>
      </c>
      <c r="T91" s="111" t="inlineStr">
        <is>
          <t>CONSUMO HUMANO Y AGRICOLA</t>
        </is>
      </c>
      <c r="U91" s="112" t="n">
        <v>45425</v>
      </c>
      <c r="V91" s="111" t="n">
        <v>0</v>
      </c>
      <c r="W91" s="111" t="n">
        <v>10.67</v>
      </c>
      <c r="X91" s="111" t="n">
        <v>10.67</v>
      </c>
      <c r="Y91" s="104" t="n">
        <v>0</v>
      </c>
      <c r="Z91" s="453" t="n">
        <v>788</v>
      </c>
      <c r="AA91" s="449" t="n">
        <v>7.49</v>
      </c>
      <c r="AB91" s="453" t="n">
        <v>390</v>
      </c>
      <c r="AC91" s="449" t="n">
        <v>24.5</v>
      </c>
      <c r="AD91" s="108" t="n"/>
      <c r="AE91" s="109" t="inlineStr">
        <is>
          <t>VISITADO</t>
        </is>
      </c>
      <c r="AF91" s="110" t="inlineStr">
        <is>
          <t>2024-05-13T10:51:29.143</t>
        </is>
      </c>
      <c r="AG91" s="115" t="n">
        <v>3.02</v>
      </c>
      <c r="AH91" s="449" t="n">
        <v>2.2</v>
      </c>
      <c r="AI91" s="126" t="n">
        <v>9</v>
      </c>
      <c r="AJ91" s="450" t="n">
        <v>0.24</v>
      </c>
      <c r="AK91" s="118" t="n">
        <v>0.024</v>
      </c>
      <c r="AL91" s="119" t="inlineStr">
        <is>
          <t>(1)</t>
        </is>
      </c>
      <c r="AM91" s="451" t="n">
        <v>0.21</v>
      </c>
      <c r="AN91" s="450" t="n">
        <v>0.082</v>
      </c>
      <c r="AO91" s="141">
        <f>5*40</f>
        <v/>
      </c>
      <c r="AP91" s="123" t="n">
        <v>100</v>
      </c>
      <c r="AQ91" s="151" t="n">
        <v>5</v>
      </c>
      <c r="AR91" s="151" t="n">
        <v>1</v>
      </c>
    </row>
    <row r="92" ht="20.25" customFormat="1" customHeight="1" s="54">
      <c r="B92" s="104" t="n">
        <v>84</v>
      </c>
      <c r="C92" s="105" t="n">
        <v>690882.2417</v>
      </c>
      <c r="D92" s="138" t="n">
        <v>9152631.7917</v>
      </c>
      <c r="E92" s="111" t="inlineStr">
        <is>
          <t>CH-261C</t>
        </is>
      </c>
      <c r="F92" s="108" t="n"/>
      <c r="G92" s="109" t="inlineStr">
        <is>
          <t>LA LIBERTAD</t>
        </is>
      </c>
      <c r="H92" s="109" t="inlineStr">
        <is>
          <t>ASCOPE</t>
        </is>
      </c>
      <c r="I92" s="109" t="inlineStr">
        <is>
          <t>CASA GRANDE</t>
        </is>
      </c>
      <c r="J92" s="109" t="inlineStr">
        <is>
          <t>DERECHA</t>
        </is>
      </c>
      <c r="K92" s="109" t="n"/>
      <c r="L92" s="109" t="inlineStr">
        <is>
          <t>HUARMEY-CHICAMA</t>
        </is>
      </c>
      <c r="M92" s="109" t="inlineStr">
        <is>
          <t>CHICAMA</t>
        </is>
      </c>
      <c r="N92" s="109" t="inlineStr">
        <is>
          <t>Intercuenca 13773</t>
        </is>
      </c>
      <c r="O92" s="109" t="n"/>
      <c r="P92" s="109" t="n">
        <v>17</v>
      </c>
      <c r="Q92" s="109" t="n">
        <v>0</v>
      </c>
      <c r="R92" s="109" t="n"/>
      <c r="S92" s="110" t="inlineStr">
        <is>
          <t>TACE</t>
        </is>
      </c>
      <c r="T92" s="111" t="inlineStr">
        <is>
          <t>CONSUMO HUMANO-AGRICOLA</t>
        </is>
      </c>
      <c r="U92" s="112" t="n">
        <v>45425</v>
      </c>
      <c r="V92" s="111" t="n">
        <v>0</v>
      </c>
      <c r="W92" s="111" t="n">
        <v>4.43</v>
      </c>
      <c r="X92" s="111" t="n">
        <v>4.43</v>
      </c>
      <c r="Y92" s="104" t="n">
        <v>0</v>
      </c>
      <c r="Z92" s="453" t="n">
        <v>1006</v>
      </c>
      <c r="AA92" s="449" t="n">
        <v>7.42</v>
      </c>
      <c r="AB92" s="453" t="n">
        <v>488</v>
      </c>
      <c r="AC92" s="449" t="n">
        <v>26.1</v>
      </c>
      <c r="AD92" s="108" t="inlineStr">
        <is>
          <t>POZO NUEVO MUESTRA 84</t>
        </is>
      </c>
      <c r="AE92" s="109" t="inlineStr">
        <is>
          <t>VISITADO</t>
        </is>
      </c>
      <c r="AF92" s="110" t="inlineStr">
        <is>
          <t>2024-05-13T10:24:21.146</t>
        </is>
      </c>
      <c r="AG92" s="115" t="n">
        <v>3.2</v>
      </c>
      <c r="AH92" s="449" t="n">
        <v>2.7</v>
      </c>
      <c r="AI92" s="126" t="n">
        <v>9</v>
      </c>
      <c r="AJ92" s="450" t="n">
        <v>0.76</v>
      </c>
      <c r="AK92" s="118" t="n">
        <v>0.015</v>
      </c>
      <c r="AL92" s="119" t="inlineStr">
        <is>
          <t>(1)</t>
        </is>
      </c>
      <c r="AM92" s="451" t="n">
        <v>0.42</v>
      </c>
      <c r="AN92" s="450" t="n">
        <v>0.08400000000000001</v>
      </c>
      <c r="AO92" s="141">
        <f>5*38</f>
        <v/>
      </c>
      <c r="AP92" s="123" t="n">
        <v>80</v>
      </c>
      <c r="AQ92" s="124" t="n">
        <v>0</v>
      </c>
      <c r="AR92" s="124" t="n">
        <v>0</v>
      </c>
    </row>
    <row r="93" ht="20.25" customHeight="1">
      <c r="B93" s="76" t="n">
        <v>85</v>
      </c>
      <c r="C93" s="77" t="n">
        <v>688794</v>
      </c>
      <c r="D93" s="139" t="n">
        <v>9152765</v>
      </c>
      <c r="E93" s="83" t="inlineStr">
        <is>
          <t>CH-307A</t>
        </is>
      </c>
      <c r="F93" s="80" t="inlineStr">
        <is>
          <t>IRHS-13-02-06-713</t>
        </is>
      </c>
      <c r="G93" s="81" t="inlineStr">
        <is>
          <t>LA LIBERTAD</t>
        </is>
      </c>
      <c r="H93" s="81" t="inlineStr">
        <is>
          <t>ASCOPE</t>
        </is>
      </c>
      <c r="I93" s="81" t="inlineStr">
        <is>
          <t>RAZURI</t>
        </is>
      </c>
      <c r="J93" s="81" t="inlineStr">
        <is>
          <t>DERECHA</t>
        </is>
      </c>
      <c r="K93" s="81" t="n"/>
      <c r="L93" s="81" t="inlineStr">
        <is>
          <t>HUARMEY-CHICAMA</t>
        </is>
      </c>
      <c r="M93" s="81" t="inlineStr">
        <is>
          <t>CHICAMA</t>
        </is>
      </c>
      <c r="N93" s="81" t="inlineStr">
        <is>
          <t>Unidad Hidrografica 13773</t>
        </is>
      </c>
      <c r="O93" s="81" t="n">
        <v>41935</v>
      </c>
      <c r="P93" s="81" t="n">
        <v>17</v>
      </c>
      <c r="Q93" s="81" t="n">
        <v>0</v>
      </c>
      <c r="R93" s="81" t="inlineStr">
        <is>
          <t>FERMIN BAUTISTA</t>
        </is>
      </c>
      <c r="S93" s="82" t="inlineStr">
        <is>
          <t>TACE</t>
        </is>
      </c>
      <c r="T93" s="83" t="inlineStr">
        <is>
          <t>AGRICOLA</t>
        </is>
      </c>
      <c r="U93" s="84" t="n">
        <v>45425</v>
      </c>
      <c r="V93" s="83" t="n">
        <v>0</v>
      </c>
      <c r="W93" s="83" t="n">
        <v>7.02</v>
      </c>
      <c r="X93" s="83" t="n">
        <v>7.02</v>
      </c>
      <c r="Y93" s="76" t="n">
        <v>0</v>
      </c>
      <c r="Z93" s="443" t="n">
        <v>1207</v>
      </c>
      <c r="AA93" s="442" t="n">
        <v>7.42</v>
      </c>
      <c r="AB93" s="443" t="n">
        <v>602</v>
      </c>
      <c r="AC93" s="442" t="n">
        <v>25.2</v>
      </c>
      <c r="AD93" s="80" t="n"/>
      <c r="AE93" s="81" t="inlineStr">
        <is>
          <t>VISITADO</t>
        </is>
      </c>
      <c r="AF93" s="82" t="inlineStr">
        <is>
          <t>2024-05-13T10:10:55.476</t>
        </is>
      </c>
      <c r="AG93" s="100" t="n">
        <v>2.59</v>
      </c>
      <c r="AH93" s="442" t="n">
        <v>7.4</v>
      </c>
      <c r="AI93" s="98" t="n">
        <v>11</v>
      </c>
      <c r="AJ93" s="444" t="n">
        <v>1.42</v>
      </c>
      <c r="AK93" s="91" t="n">
        <v>0.022</v>
      </c>
      <c r="AL93" s="92" t="inlineStr">
        <is>
          <t>(1)</t>
        </is>
      </c>
      <c r="AM93" s="445" t="n">
        <v>0.46</v>
      </c>
      <c r="AN93" s="444" t="n">
        <v>0.059</v>
      </c>
      <c r="AO93" s="140">
        <f>5*42</f>
        <v/>
      </c>
      <c r="AP93" s="96" t="inlineStr">
        <is>
          <t>*</t>
        </is>
      </c>
      <c r="AQ93" s="97" t="inlineStr">
        <is>
          <t>*</t>
        </is>
      </c>
      <c r="AR93" s="97" t="inlineStr">
        <is>
          <t>*</t>
        </is>
      </c>
    </row>
    <row r="94" ht="20.25" customHeight="1">
      <c r="B94" s="76" t="n">
        <v>86</v>
      </c>
      <c r="C94" s="77" t="n">
        <v>686238</v>
      </c>
      <c r="D94" s="139" t="n">
        <v>9151188</v>
      </c>
      <c r="E94" s="83" t="inlineStr">
        <is>
          <t>CH-148A-2</t>
        </is>
      </c>
      <c r="F94" s="80" t="inlineStr">
        <is>
          <t>IRHS-13-02-04-188</t>
        </is>
      </c>
      <c r="G94" s="81" t="inlineStr">
        <is>
          <t>LA LIBERTAD</t>
        </is>
      </c>
      <c r="H94" s="81" t="inlineStr">
        <is>
          <t>ASCOPE</t>
        </is>
      </c>
      <c r="I94" s="81" t="inlineStr">
        <is>
          <t>RAZURI</t>
        </is>
      </c>
      <c r="J94" s="81" t="inlineStr">
        <is>
          <t>DERECHA</t>
        </is>
      </c>
      <c r="K94" s="81" t="n"/>
      <c r="L94" s="81" t="inlineStr">
        <is>
          <t>HUARMEY-CHICAMA</t>
        </is>
      </c>
      <c r="M94" s="81" t="inlineStr">
        <is>
          <t>CHICAMA</t>
        </is>
      </c>
      <c r="N94" s="81" t="inlineStr">
        <is>
          <t>Unidad Hidrografica 13773</t>
        </is>
      </c>
      <c r="O94" s="81" t="n">
        <v>41885</v>
      </c>
      <c r="P94" s="81" t="n">
        <v>17</v>
      </c>
      <c r="Q94" s="81" t="n">
        <v>0</v>
      </c>
      <c r="R94" s="81" t="inlineStr">
        <is>
          <t>ESTEBAN JARA GARCÍA</t>
        </is>
      </c>
      <c r="S94" s="82" t="inlineStr">
        <is>
          <t>TASE</t>
        </is>
      </c>
      <c r="T94" s="83" t="inlineStr">
        <is>
          <t>AGRÍCOLA</t>
        </is>
      </c>
      <c r="U94" s="84" t="n">
        <v>45425</v>
      </c>
      <c r="V94" s="83" t="n">
        <v>0.3</v>
      </c>
      <c r="W94" s="83" t="n">
        <v>12.24</v>
      </c>
      <c r="X94" s="83" t="n">
        <v>11.94</v>
      </c>
      <c r="Y94" s="76" t="n">
        <v>0</v>
      </c>
      <c r="Z94" s="441" t="n">
        <v>3600</v>
      </c>
      <c r="AA94" s="442" t="n">
        <v>7.69</v>
      </c>
      <c r="AB94" s="441" t="n">
        <v>1911</v>
      </c>
      <c r="AC94" s="442" t="n">
        <v>24.2</v>
      </c>
      <c r="AD94" s="80" t="n"/>
      <c r="AE94" s="81" t="inlineStr">
        <is>
          <t>VISITADO</t>
        </is>
      </c>
      <c r="AF94" s="82" t="inlineStr">
        <is>
          <t>2024-05-13T09:58:58.116</t>
        </is>
      </c>
      <c r="AG94" s="88" t="n">
        <v>9.529999999999999</v>
      </c>
      <c r="AH94" s="442" t="n">
        <v>1.3</v>
      </c>
      <c r="AI94" s="89" t="n">
        <v>5</v>
      </c>
      <c r="AJ94" s="444" t="n">
        <v>0.26</v>
      </c>
      <c r="AK94" s="91" t="n">
        <v>0.01</v>
      </c>
      <c r="AL94" s="92" t="inlineStr">
        <is>
          <t>(1)</t>
        </is>
      </c>
      <c r="AM94" s="445" t="n">
        <v>0.18</v>
      </c>
      <c r="AN94" s="444" t="n">
        <v>0.074</v>
      </c>
      <c r="AO94" s="140">
        <f>5*40</f>
        <v/>
      </c>
      <c r="AP94" s="96" t="inlineStr">
        <is>
          <t>*</t>
        </is>
      </c>
      <c r="AQ94" s="97" t="inlineStr">
        <is>
          <t>*</t>
        </is>
      </c>
      <c r="AR94" s="97" t="inlineStr">
        <is>
          <t>*</t>
        </is>
      </c>
    </row>
    <row r="95" ht="20.25" customHeight="1">
      <c r="B95" s="76" t="n">
        <v>87</v>
      </c>
      <c r="C95" s="77" t="n">
        <v>691312</v>
      </c>
      <c r="D95" s="139" t="n">
        <v>9144730</v>
      </c>
      <c r="E95" s="83" t="inlineStr">
        <is>
          <t>CH-302A</t>
        </is>
      </c>
      <c r="F95" s="80" t="inlineStr">
        <is>
          <t>IRHS-13-02-05-550A</t>
        </is>
      </c>
      <c r="G95" s="81" t="inlineStr">
        <is>
          <t>LA LIBERTAD</t>
        </is>
      </c>
      <c r="H95" s="81" t="inlineStr">
        <is>
          <t>ASCOPE</t>
        </is>
      </c>
      <c r="I95" s="81" t="inlineStr">
        <is>
          <t>PAIJAN</t>
        </is>
      </c>
      <c r="J95" s="81" t="inlineStr">
        <is>
          <t>DERECHA</t>
        </is>
      </c>
      <c r="K95" s="81" t="n"/>
      <c r="L95" s="81" t="inlineStr">
        <is>
          <t>HUARMEY-CHICAMA</t>
        </is>
      </c>
      <c r="M95" s="81" t="inlineStr">
        <is>
          <t>CHICAMA</t>
        </is>
      </c>
      <c r="N95" s="81" t="inlineStr">
        <is>
          <t>Unidad Hidrografica 13773</t>
        </is>
      </c>
      <c r="O95" s="81" t="n"/>
      <c r="P95" s="81" t="n">
        <v>17</v>
      </c>
      <c r="Q95" s="81" t="n">
        <v>0</v>
      </c>
      <c r="R95" s="81" t="inlineStr">
        <is>
          <t>AYALA ALFARO, ZACARIAS ANDRES</t>
        </is>
      </c>
      <c r="S95" s="82" t="inlineStr">
        <is>
          <t>TACE</t>
        </is>
      </c>
      <c r="T95" s="83" t="inlineStr">
        <is>
          <t>AGRICOLA</t>
        </is>
      </c>
      <c r="U95" s="84" t="n">
        <v>45418</v>
      </c>
      <c r="V95" s="83" t="n">
        <v>0</v>
      </c>
      <c r="W95" s="83" t="n">
        <v>8.300000000000001</v>
      </c>
      <c r="X95" s="83" t="n">
        <v>8.300000000000001</v>
      </c>
      <c r="Y95" s="76" t="n">
        <v>0</v>
      </c>
      <c r="Z95" s="443" t="n">
        <v>971</v>
      </c>
      <c r="AA95" s="442" t="n">
        <v>7.53</v>
      </c>
      <c r="AB95" s="443" t="n">
        <v>497</v>
      </c>
      <c r="AC95" s="442" t="n">
        <v>23.3</v>
      </c>
      <c r="AD95" s="80" t="n"/>
      <c r="AE95" s="81" t="inlineStr">
        <is>
          <t>VISITADO</t>
        </is>
      </c>
      <c r="AF95" s="82" t="inlineStr">
        <is>
          <t>2024-05-06T08:56:57.070</t>
        </is>
      </c>
      <c r="AG95" s="100" t="n">
        <v>5.34</v>
      </c>
      <c r="AH95" s="442" t="n">
        <v>4.4</v>
      </c>
      <c r="AI95" s="89" t="n">
        <v>8</v>
      </c>
      <c r="AJ95" s="444" t="n">
        <v>0.28</v>
      </c>
      <c r="AK95" s="91" t="n">
        <v>0.012</v>
      </c>
      <c r="AL95" s="92" t="inlineStr">
        <is>
          <t>(1)</t>
        </is>
      </c>
      <c r="AM95" s="445" t="n">
        <v>0.32</v>
      </c>
      <c r="AN95" s="444" t="n">
        <v>0.079</v>
      </c>
      <c r="AO95" s="140">
        <f>5*43</f>
        <v/>
      </c>
      <c r="AP95" s="96" t="inlineStr">
        <is>
          <t>*</t>
        </is>
      </c>
      <c r="AQ95" s="97" t="inlineStr">
        <is>
          <t>*</t>
        </is>
      </c>
      <c r="AR95" s="97" t="inlineStr">
        <is>
          <t>*</t>
        </is>
      </c>
    </row>
    <row r="96" ht="20.25" customHeight="1">
      <c r="B96" s="76" t="n">
        <v>88</v>
      </c>
      <c r="C96" s="77" t="n">
        <v>688209</v>
      </c>
      <c r="D96" s="139" t="n">
        <v>9140838</v>
      </c>
      <c r="E96" s="83" t="inlineStr">
        <is>
          <t>CH-29A-2</t>
        </is>
      </c>
      <c r="F96" s="80" t="inlineStr">
        <is>
          <t>IRHS 13-02-05-574</t>
        </is>
      </c>
      <c r="G96" s="81" t="inlineStr">
        <is>
          <t>LA LIBERTAD</t>
        </is>
      </c>
      <c r="H96" s="81" t="inlineStr">
        <is>
          <t>ASCOPE</t>
        </is>
      </c>
      <c r="I96" s="81" t="inlineStr">
        <is>
          <t>PAIJAN</t>
        </is>
      </c>
      <c r="J96" s="81" t="inlineStr">
        <is>
          <t>DERECHA</t>
        </is>
      </c>
      <c r="K96" s="81" t="n"/>
      <c r="L96" s="81" t="inlineStr">
        <is>
          <t>HUARMEY-CHICAMA</t>
        </is>
      </c>
      <c r="M96" s="81" t="inlineStr">
        <is>
          <t>CHICAMA</t>
        </is>
      </c>
      <c r="N96" s="81" t="inlineStr">
        <is>
          <t>Unidad Hidrografica 13773</t>
        </is>
      </c>
      <c r="O96" s="81" t="n">
        <v>41889</v>
      </c>
      <c r="P96" s="81" t="n">
        <v>17</v>
      </c>
      <c r="Q96" s="81" t="n">
        <v>0</v>
      </c>
      <c r="R96" s="81" t="inlineStr">
        <is>
          <t>EMILIO MARÍN VÁSQUEZ</t>
        </is>
      </c>
      <c r="S96" s="82" t="inlineStr">
        <is>
          <t>TACE</t>
        </is>
      </c>
      <c r="T96" s="83" t="inlineStr">
        <is>
          <t>AGRÍCOLA</t>
        </is>
      </c>
      <c r="U96" s="84" t="n">
        <v>45414</v>
      </c>
      <c r="V96" s="83" t="n">
        <v>0</v>
      </c>
      <c r="W96" s="83" t="n">
        <v>3.19</v>
      </c>
      <c r="X96" s="83" t="n">
        <v>3.19</v>
      </c>
      <c r="Y96" s="76" t="n">
        <v>0</v>
      </c>
      <c r="Z96" s="443" t="n">
        <v>846</v>
      </c>
      <c r="AA96" s="442" t="n">
        <v>7.67</v>
      </c>
      <c r="AB96" s="443" t="n">
        <v>420</v>
      </c>
      <c r="AC96" s="442" t="n">
        <v>24.6</v>
      </c>
      <c r="AD96" s="80" t="n"/>
      <c r="AE96" s="81" t="inlineStr">
        <is>
          <t>VISITADO</t>
        </is>
      </c>
      <c r="AF96" s="82" t="inlineStr">
        <is>
          <t>2024-05-02T12:46:36.714</t>
        </is>
      </c>
      <c r="AG96" s="100" t="n">
        <v>3.92</v>
      </c>
      <c r="AH96" s="442" t="n">
        <v>4.4</v>
      </c>
      <c r="AI96" s="98" t="n">
        <v>15</v>
      </c>
      <c r="AJ96" s="444" t="n">
        <v>0.23</v>
      </c>
      <c r="AK96" s="91" t="n">
        <v>0.025</v>
      </c>
      <c r="AL96" s="92" t="inlineStr">
        <is>
          <t>(1)</t>
        </is>
      </c>
      <c r="AM96" s="445" t="n">
        <v>0.22</v>
      </c>
      <c r="AN96" s="91" t="n">
        <v>0.019</v>
      </c>
      <c r="AO96" s="140" t="n">
        <v>150</v>
      </c>
      <c r="AP96" s="96" t="inlineStr">
        <is>
          <t>*</t>
        </is>
      </c>
      <c r="AQ96" s="97" t="inlineStr">
        <is>
          <t>*</t>
        </is>
      </c>
      <c r="AR96" s="97" t="inlineStr">
        <is>
          <t>*</t>
        </is>
      </c>
    </row>
    <row r="97" ht="20.25" customHeight="1">
      <c r="B97" s="76" t="n">
        <v>89</v>
      </c>
      <c r="C97" s="77" t="n">
        <v>687177</v>
      </c>
      <c r="D97" s="139" t="n">
        <v>9140206</v>
      </c>
      <c r="E97" s="83" t="inlineStr">
        <is>
          <t>CH-27A</t>
        </is>
      </c>
      <c r="F97" s="80" t="n"/>
      <c r="G97" s="81" t="inlineStr">
        <is>
          <t>LA LIBERTAD</t>
        </is>
      </c>
      <c r="H97" s="81" t="inlineStr">
        <is>
          <t>ASCOPE</t>
        </is>
      </c>
      <c r="I97" s="81" t="inlineStr">
        <is>
          <t>PAIJAN</t>
        </is>
      </c>
      <c r="J97" s="81" t="inlineStr">
        <is>
          <t>DERECHA</t>
        </is>
      </c>
      <c r="K97" s="81" t="n"/>
      <c r="L97" s="81" t="inlineStr">
        <is>
          <t>HUARMEY-CHICAMA</t>
        </is>
      </c>
      <c r="M97" s="81" t="inlineStr">
        <is>
          <t>CHICAMA</t>
        </is>
      </c>
      <c r="N97" s="81" t="inlineStr">
        <is>
          <t>Unidad Hidrografica 13773</t>
        </is>
      </c>
      <c r="O97" s="81" t="n"/>
      <c r="P97" s="81" t="n">
        <v>17</v>
      </c>
      <c r="Q97" s="81" t="n">
        <v>0</v>
      </c>
      <c r="R97" s="81" t="inlineStr">
        <is>
          <t>POLO ANGULO, SEGUNDO</t>
        </is>
      </c>
      <c r="S97" s="82" t="inlineStr">
        <is>
          <t>TASE</t>
        </is>
      </c>
      <c r="T97" s="83" t="inlineStr">
        <is>
          <t>AGRICOLA</t>
        </is>
      </c>
      <c r="U97" s="84" t="n">
        <v>45414</v>
      </c>
      <c r="V97" s="83" t="n">
        <v>0.5</v>
      </c>
      <c r="W97" s="83" t="n">
        <v>1.18</v>
      </c>
      <c r="X97" s="83" t="n">
        <v>0.68</v>
      </c>
      <c r="Y97" s="76" t="n">
        <v>0</v>
      </c>
      <c r="Z97" s="441" t="n">
        <v>3550</v>
      </c>
      <c r="AA97" s="442" t="n">
        <v>7.59</v>
      </c>
      <c r="AB97" s="441" t="n">
        <v>1883</v>
      </c>
      <c r="AC97" s="442" t="n">
        <v>24</v>
      </c>
      <c r="AD97" s="80" t="n"/>
      <c r="AE97" s="81" t="inlineStr">
        <is>
          <t>VISITADO</t>
        </is>
      </c>
      <c r="AF97" s="82" t="inlineStr">
        <is>
          <t>2024-05-02T13:10:18.614</t>
        </is>
      </c>
      <c r="AG97" s="100" t="n">
        <v>4.19</v>
      </c>
      <c r="AH97" s="442" t="n">
        <v>0.5</v>
      </c>
      <c r="AI97" s="89" t="n">
        <v>9</v>
      </c>
      <c r="AJ97" s="444" t="n">
        <v>1.27</v>
      </c>
      <c r="AK97" s="91" t="n">
        <v>0.016</v>
      </c>
      <c r="AL97" s="92" t="inlineStr">
        <is>
          <t>(1)</t>
        </is>
      </c>
      <c r="AM97" s="445" t="n">
        <v>0.29</v>
      </c>
      <c r="AN97" s="91" t="n">
        <v>0.022</v>
      </c>
      <c r="AO97" s="140" t="n">
        <v>155</v>
      </c>
      <c r="AP97" s="96" t="inlineStr">
        <is>
          <t>*</t>
        </is>
      </c>
      <c r="AQ97" s="97" t="inlineStr">
        <is>
          <t>*</t>
        </is>
      </c>
      <c r="AR97" s="97" t="inlineStr">
        <is>
          <t>*</t>
        </is>
      </c>
    </row>
    <row r="98" ht="20.25" customFormat="1" customHeight="1" s="54">
      <c r="B98" s="104" t="n">
        <v>90</v>
      </c>
      <c r="C98" s="105" t="n">
        <v>686884</v>
      </c>
      <c r="D98" s="138" t="n">
        <v>9138952</v>
      </c>
      <c r="E98" s="111" t="inlineStr">
        <is>
          <t>CH-180A</t>
        </is>
      </c>
      <c r="F98" s="108" t="inlineStr">
        <is>
          <t>IRHS-13-02-05-757</t>
        </is>
      </c>
      <c r="G98" s="109" t="inlineStr">
        <is>
          <t>LA LIBERTAD</t>
        </is>
      </c>
      <c r="H98" s="109" t="inlineStr">
        <is>
          <t>ASCOPE</t>
        </is>
      </c>
      <c r="I98" s="109" t="inlineStr">
        <is>
          <t>PAIJAN</t>
        </is>
      </c>
      <c r="J98" s="109" t="inlineStr">
        <is>
          <t>DERECHA</t>
        </is>
      </c>
      <c r="K98" s="109" t="n"/>
      <c r="L98" s="109" t="inlineStr">
        <is>
          <t>HUARMEY-CHICAMA</t>
        </is>
      </c>
      <c r="M98" s="109" t="inlineStr">
        <is>
          <t>CHICAMA</t>
        </is>
      </c>
      <c r="N98" s="109" t="inlineStr">
        <is>
          <t>Unidad Hidrografica 13773</t>
        </is>
      </c>
      <c r="O98" s="109" t="n">
        <v>41890</v>
      </c>
      <c r="P98" s="109" t="n">
        <v>17</v>
      </c>
      <c r="Q98" s="109" t="n">
        <v>0</v>
      </c>
      <c r="R98" s="109" t="inlineStr">
        <is>
          <t>AGUA POTABLE LA GRAMA - PARTE BAJA</t>
        </is>
      </c>
      <c r="S98" s="110" t="inlineStr">
        <is>
          <t>TACE</t>
        </is>
      </c>
      <c r="T98" s="111" t="inlineStr">
        <is>
          <t>CONSUMO HUMANO</t>
        </is>
      </c>
      <c r="U98" s="112" t="n">
        <v>45414</v>
      </c>
      <c r="V98" s="111" t="n">
        <v>0.6</v>
      </c>
      <c r="W98" s="111" t="n">
        <v>2.23</v>
      </c>
      <c r="X98" s="111" t="n">
        <v>1.63</v>
      </c>
      <c r="Y98" s="104" t="n">
        <v>0</v>
      </c>
      <c r="Z98" s="448" t="n">
        <v>1956</v>
      </c>
      <c r="AA98" s="449" t="n">
        <v>7.38</v>
      </c>
      <c r="AB98" s="453" t="n">
        <v>980</v>
      </c>
      <c r="AC98" s="449" t="n">
        <v>25.9</v>
      </c>
      <c r="AD98" s="108" t="n"/>
      <c r="AE98" s="109" t="inlineStr">
        <is>
          <t>VISITADO</t>
        </is>
      </c>
      <c r="AF98" s="110" t="inlineStr">
        <is>
          <t>2024-05-02T13:28:50.534</t>
        </is>
      </c>
      <c r="AG98" s="115" t="n">
        <v>1.32</v>
      </c>
      <c r="AH98" s="449" t="n">
        <v>1</v>
      </c>
      <c r="AI98" s="116" t="n">
        <v>17</v>
      </c>
      <c r="AJ98" s="450" t="n">
        <v>1.33</v>
      </c>
      <c r="AK98" s="118" t="n">
        <v>0.013</v>
      </c>
      <c r="AL98" s="119" t="inlineStr">
        <is>
          <t>(1)</t>
        </is>
      </c>
      <c r="AM98" s="451" t="n">
        <v>0.2</v>
      </c>
      <c r="AN98" s="118" t="n">
        <v>0.022</v>
      </c>
      <c r="AO98" s="122" t="n">
        <v>270</v>
      </c>
      <c r="AP98" s="123" t="n">
        <v>80</v>
      </c>
      <c r="AQ98" s="124" t="n">
        <v>0</v>
      </c>
      <c r="AR98" s="124" t="n">
        <v>0</v>
      </c>
    </row>
    <row r="99" ht="20.25" customHeight="1" thickBot="1">
      <c r="B99" s="76" t="n">
        <v>91</v>
      </c>
      <c r="C99" s="77" t="n">
        <v>683895</v>
      </c>
      <c r="D99" s="139" t="n">
        <v>9136085</v>
      </c>
      <c r="E99" s="83" t="inlineStr">
        <is>
          <t>CH-154A-1</t>
        </is>
      </c>
      <c r="F99" s="80" t="n"/>
      <c r="G99" s="81" t="inlineStr">
        <is>
          <t>LA LIBERTAD</t>
        </is>
      </c>
      <c r="H99" s="81" t="inlineStr">
        <is>
          <t>ASCOPE</t>
        </is>
      </c>
      <c r="I99" s="81" t="inlineStr">
        <is>
          <t>MAGDALENA DE CAO</t>
        </is>
      </c>
      <c r="J99" s="81" t="inlineStr">
        <is>
          <t>DERECHA</t>
        </is>
      </c>
      <c r="K99" s="81" t="n"/>
      <c r="L99" s="81" t="inlineStr">
        <is>
          <t>HUARMEY-CHICAMA</t>
        </is>
      </c>
      <c r="M99" s="81" t="inlineStr">
        <is>
          <t>CHICAMA</t>
        </is>
      </c>
      <c r="N99" s="81" t="inlineStr">
        <is>
          <t>Unidad Hidrografica 13773</t>
        </is>
      </c>
      <c r="O99" s="81" t="n"/>
      <c r="P99" s="81" t="n">
        <v>17</v>
      </c>
      <c r="Q99" s="81" t="n">
        <v>0</v>
      </c>
      <c r="R99" s="81" t="inlineStr">
        <is>
          <t>CHOTON VILLANUEVA, HUBERT GUILLERMO</t>
        </is>
      </c>
      <c r="S99" s="82" t="inlineStr">
        <is>
          <t>TSE</t>
        </is>
      </c>
      <c r="T99" s="83" t="inlineStr">
        <is>
          <t>AGRÍCOLA</t>
        </is>
      </c>
      <c r="U99" s="152" t="n">
        <v>45414</v>
      </c>
      <c r="V99" s="83" t="n">
        <v>0.5</v>
      </c>
      <c r="W99" s="83" t="n">
        <v>2.82</v>
      </c>
      <c r="X99" s="83" t="n">
        <v>2.32</v>
      </c>
      <c r="Y99" s="76" t="n">
        <v>0</v>
      </c>
      <c r="Z99" s="441" t="n">
        <v>10170</v>
      </c>
      <c r="AA99" s="442" t="n">
        <v>7.52</v>
      </c>
      <c r="AB99" s="441" t="n">
        <v>5470</v>
      </c>
      <c r="AC99" s="442" t="n">
        <v>25.9</v>
      </c>
      <c r="AD99" s="153" t="n"/>
      <c r="AE99" s="154" t="inlineStr">
        <is>
          <t>VISITADO</t>
        </is>
      </c>
      <c r="AF99" s="155" t="inlineStr">
        <is>
          <t>2024-05-02T09:47:01.394</t>
        </is>
      </c>
      <c r="AG99" s="100" t="n">
        <v>2.91</v>
      </c>
      <c r="AH99" s="442" t="n">
        <v>0.8</v>
      </c>
      <c r="AI99" s="98" t="n">
        <v>18</v>
      </c>
      <c r="AJ99" s="444" t="n">
        <v>1.52</v>
      </c>
      <c r="AK99" s="91" t="n">
        <v>0.007</v>
      </c>
      <c r="AL99" s="92" t="inlineStr">
        <is>
          <t>(1)</t>
        </is>
      </c>
      <c r="AM99" s="445" t="n">
        <v>0.35</v>
      </c>
      <c r="AN99" s="91" t="n">
        <v>0.014</v>
      </c>
      <c r="AO99" s="99" t="n">
        <v>330</v>
      </c>
      <c r="AP99" s="96" t="inlineStr">
        <is>
          <t>*</t>
        </is>
      </c>
      <c r="AQ99" s="97" t="inlineStr">
        <is>
          <t>*</t>
        </is>
      </c>
      <c r="AR99" s="97" t="inlineStr">
        <is>
          <t>*</t>
        </is>
      </c>
    </row>
    <row r="100" ht="20.25" customHeight="1">
      <c r="B100" s="76" t="n">
        <v>92</v>
      </c>
      <c r="C100" s="77" t="n">
        <v>679250</v>
      </c>
      <c r="D100" s="139" t="n">
        <v>9136024</v>
      </c>
      <c r="E100" s="83" t="inlineStr">
        <is>
          <t>CH-156A-1</t>
        </is>
      </c>
      <c r="F100" s="80" t="n"/>
      <c r="G100" s="81" t="inlineStr">
        <is>
          <t>LA LIBERTAD</t>
        </is>
      </c>
      <c r="H100" s="81" t="inlineStr">
        <is>
          <t>ASCOPE</t>
        </is>
      </c>
      <c r="I100" s="81" t="inlineStr">
        <is>
          <t>MAGDALENA DE CAO</t>
        </is>
      </c>
      <c r="J100" s="81" t="inlineStr">
        <is>
          <t>DERECHA</t>
        </is>
      </c>
      <c r="K100" s="81" t="n"/>
      <c r="L100" s="81" t="inlineStr">
        <is>
          <t>HUARMEY-CHICAMA</t>
        </is>
      </c>
      <c r="M100" s="81" t="inlineStr">
        <is>
          <t>CHICAMA</t>
        </is>
      </c>
      <c r="N100" s="81" t="inlineStr">
        <is>
          <t>Unidad Hidrografica 13773</t>
        </is>
      </c>
      <c r="O100" s="81" t="n"/>
      <c r="P100" s="81" t="n">
        <v>17</v>
      </c>
      <c r="Q100" s="81" t="n">
        <v>0</v>
      </c>
      <c r="R100" s="81" t="inlineStr">
        <is>
          <t>PINNA CABREJOS, JORGE</t>
        </is>
      </c>
      <c r="S100" s="82" t="inlineStr">
        <is>
          <t>TASE</t>
        </is>
      </c>
      <c r="T100" s="83" t="inlineStr">
        <is>
          <t>Abandonado</t>
        </is>
      </c>
      <c r="U100" s="156" t="n">
        <v>45418</v>
      </c>
      <c r="V100" s="83" t="n">
        <v>0</v>
      </c>
      <c r="W100" s="83" t="n">
        <v>7.01</v>
      </c>
      <c r="X100" s="83" t="n">
        <v>7.01</v>
      </c>
      <c r="Y100" s="76" t="n">
        <v>0</v>
      </c>
      <c r="Z100" s="441" t="n">
        <v>11070</v>
      </c>
      <c r="AA100" s="442" t="n">
        <v>8.02</v>
      </c>
      <c r="AB100" s="441" t="n">
        <v>6180</v>
      </c>
      <c r="AC100" s="442" t="n">
        <v>24.1</v>
      </c>
      <c r="AD100" s="157" t="inlineStr">
        <is>
          <t>Abandonado</t>
        </is>
      </c>
      <c r="AE100" s="158" t="inlineStr">
        <is>
          <t>VISITADO</t>
        </is>
      </c>
      <c r="AF100" s="159" t="inlineStr">
        <is>
          <t>2024-05-06T11:44:55.215</t>
        </is>
      </c>
      <c r="AG100" s="88" t="n">
        <v>18.1</v>
      </c>
      <c r="AH100" s="442" t="n">
        <v>1</v>
      </c>
      <c r="AI100" s="89" t="n">
        <v>9</v>
      </c>
      <c r="AJ100" s="444" t="n">
        <v>1.02</v>
      </c>
      <c r="AK100" s="91" t="n">
        <v>0.035</v>
      </c>
      <c r="AL100" s="92" t="inlineStr">
        <is>
          <t>(1)</t>
        </is>
      </c>
      <c r="AM100" s="445" t="n">
        <v>0.17</v>
      </c>
      <c r="AN100" s="91" t="n">
        <v>0.08699999999999999</v>
      </c>
      <c r="AO100" s="140">
        <f>5*44</f>
        <v/>
      </c>
      <c r="AP100" s="96" t="inlineStr">
        <is>
          <t>*</t>
        </is>
      </c>
      <c r="AQ100" s="97" t="inlineStr">
        <is>
          <t>*</t>
        </is>
      </c>
      <c r="AR100" s="97" t="inlineStr">
        <is>
          <t>*</t>
        </is>
      </c>
    </row>
    <row r="101" ht="20.25" customFormat="1" customHeight="1" s="54">
      <c r="B101" s="104" t="n">
        <v>93</v>
      </c>
      <c r="C101" s="105" t="n">
        <v>678103</v>
      </c>
      <c r="D101" s="138" t="n">
        <v>9137694</v>
      </c>
      <c r="E101" s="111" t="inlineStr">
        <is>
          <t>CH-284A</t>
        </is>
      </c>
      <c r="F101" s="108" t="n"/>
      <c r="G101" s="109" t="inlineStr">
        <is>
          <t>LA LIBERTAD</t>
        </is>
      </c>
      <c r="H101" s="109" t="inlineStr">
        <is>
          <t>ASCOPE</t>
        </is>
      </c>
      <c r="I101" s="109" t="inlineStr">
        <is>
          <t>RAZURI</t>
        </is>
      </c>
      <c r="J101" s="109" t="inlineStr">
        <is>
          <t>DERECHA</t>
        </is>
      </c>
      <c r="K101" s="109" t="n"/>
      <c r="L101" s="109" t="inlineStr">
        <is>
          <t>HUARMEY-CHICAMA</t>
        </is>
      </c>
      <c r="M101" s="109" t="inlineStr">
        <is>
          <t>CHICAMA</t>
        </is>
      </c>
      <c r="N101" s="109" t="inlineStr">
        <is>
          <t>Unidad Hidrografica 13773</t>
        </is>
      </c>
      <c r="O101" s="109" t="n"/>
      <c r="P101" s="109" t="n">
        <v>17</v>
      </c>
      <c r="Q101" s="109" t="n">
        <v>0</v>
      </c>
      <c r="R101" s="109" t="n"/>
      <c r="S101" s="110" t="inlineStr">
        <is>
          <t>TACE</t>
        </is>
      </c>
      <c r="T101" s="111" t="inlineStr">
        <is>
          <t>CONSUMO HUMANO</t>
        </is>
      </c>
      <c r="U101" s="112" t="n">
        <v>45418</v>
      </c>
      <c r="V101" s="111" t="n">
        <v>0.65</v>
      </c>
      <c r="W101" s="111" t="n">
        <v>2.05</v>
      </c>
      <c r="X101" s="111" t="n">
        <v>1.4</v>
      </c>
      <c r="Y101" s="104" t="n">
        <v>0</v>
      </c>
      <c r="Z101" s="448" t="n">
        <v>3180</v>
      </c>
      <c r="AA101" s="449" t="n">
        <v>7.73</v>
      </c>
      <c r="AB101" s="448" t="n">
        <v>1707</v>
      </c>
      <c r="AC101" s="449" t="n">
        <v>23.4</v>
      </c>
      <c r="AD101" s="108" t="n"/>
      <c r="AE101" s="109" t="inlineStr">
        <is>
          <t>VISITADO</t>
        </is>
      </c>
      <c r="AF101" s="110" t="inlineStr">
        <is>
          <t>2024-05-06T11:31:12.421</t>
        </is>
      </c>
      <c r="AG101" s="460" t="n">
        <v>0.49</v>
      </c>
      <c r="AH101" s="449" t="n">
        <v>2.8</v>
      </c>
      <c r="AI101" s="126" t="n">
        <v>9</v>
      </c>
      <c r="AJ101" s="450" t="n">
        <v>2.05</v>
      </c>
      <c r="AK101" s="118" t="n">
        <v>0.02</v>
      </c>
      <c r="AL101" s="119" t="inlineStr">
        <is>
          <t>(1)</t>
        </is>
      </c>
      <c r="AM101" s="161" t="n">
        <v>0.24</v>
      </c>
      <c r="AN101" s="162" t="n">
        <v>0.038</v>
      </c>
      <c r="AO101" s="124">
        <f>5*45</f>
        <v/>
      </c>
      <c r="AP101" s="123" t="n">
        <v>120</v>
      </c>
      <c r="AQ101" s="163" t="n">
        <v>0</v>
      </c>
      <c r="AR101" s="163" t="n">
        <v>0</v>
      </c>
    </row>
    <row r="102" ht="20.25" customHeight="1">
      <c r="B102" s="76" t="n">
        <v>94</v>
      </c>
      <c r="C102" s="77" t="n">
        <v>683964</v>
      </c>
      <c r="D102" s="139" t="n">
        <v>9139509</v>
      </c>
      <c r="E102" s="83" t="inlineStr">
        <is>
          <t>CH-272A</t>
        </is>
      </c>
      <c r="F102" s="80" t="n"/>
      <c r="G102" s="81" t="inlineStr">
        <is>
          <t>LA LIBERTAD</t>
        </is>
      </c>
      <c r="H102" s="81" t="inlineStr">
        <is>
          <t>ASCOPE</t>
        </is>
      </c>
      <c r="I102" s="81" t="inlineStr">
        <is>
          <t>RAZURI</t>
        </is>
      </c>
      <c r="J102" s="81" t="inlineStr">
        <is>
          <t>DERECHA</t>
        </is>
      </c>
      <c r="K102" s="81" t="n"/>
      <c r="L102" s="81" t="inlineStr">
        <is>
          <t>HUARMEY-CHICAMA</t>
        </is>
      </c>
      <c r="M102" s="81" t="inlineStr">
        <is>
          <t>CHICAMA</t>
        </is>
      </c>
      <c r="N102" s="81" t="inlineStr">
        <is>
          <t>Unidad Hidrografica 13773</t>
        </is>
      </c>
      <c r="O102" s="81" t="n"/>
      <c r="P102" s="81" t="n">
        <v>17</v>
      </c>
      <c r="Q102" s="81" t="n">
        <v>0</v>
      </c>
      <c r="R102" s="81" t="n"/>
      <c r="S102" s="82" t="inlineStr">
        <is>
          <t>TACE</t>
        </is>
      </c>
      <c r="T102" s="83" t="inlineStr">
        <is>
          <t>AGRÍCOLA</t>
        </is>
      </c>
      <c r="U102" s="164" t="n">
        <v>45418</v>
      </c>
      <c r="V102" s="83" t="n">
        <v>0.2</v>
      </c>
      <c r="W102" s="83" t="n">
        <v>2.74</v>
      </c>
      <c r="X102" s="83" t="n">
        <v>2.54</v>
      </c>
      <c r="Y102" s="76" t="n">
        <v>0</v>
      </c>
      <c r="Z102" s="441" t="n">
        <v>2750</v>
      </c>
      <c r="AA102" s="442" t="n">
        <v>8.16</v>
      </c>
      <c r="AB102" s="441" t="n">
        <v>1468</v>
      </c>
      <c r="AC102" s="442" t="n">
        <v>23</v>
      </c>
      <c r="AD102" s="165" t="n"/>
      <c r="AE102" s="166" t="inlineStr">
        <is>
          <t>VISITADO</t>
        </is>
      </c>
      <c r="AF102" s="167" t="inlineStr">
        <is>
          <t>2024-05-06T11:07:27.288</t>
        </is>
      </c>
      <c r="AG102" s="88" t="n">
        <v>5.96</v>
      </c>
      <c r="AH102" s="442" t="n">
        <v>1.1</v>
      </c>
      <c r="AI102" s="89" t="n">
        <v>5</v>
      </c>
      <c r="AJ102" s="444" t="n">
        <v>0.39</v>
      </c>
      <c r="AK102" s="91" t="n">
        <v>0.026</v>
      </c>
      <c r="AL102" s="92" t="inlineStr">
        <is>
          <t>(1)</t>
        </is>
      </c>
      <c r="AM102" s="445" t="n">
        <v>0.16</v>
      </c>
      <c r="AN102" s="91" t="n">
        <v>0.105</v>
      </c>
      <c r="AO102" s="140">
        <f>5*40</f>
        <v/>
      </c>
      <c r="AP102" s="96" t="inlineStr">
        <is>
          <t>*</t>
        </is>
      </c>
      <c r="AQ102" s="97" t="inlineStr">
        <is>
          <t>*</t>
        </is>
      </c>
      <c r="AR102" s="97" t="inlineStr">
        <is>
          <t>*</t>
        </is>
      </c>
    </row>
    <row r="103" ht="20.25" customFormat="1" customHeight="1" s="54">
      <c r="B103" s="104" t="n">
        <v>95</v>
      </c>
      <c r="C103" s="105" t="n">
        <v>685555</v>
      </c>
      <c r="D103" s="138" t="n">
        <v>9141628</v>
      </c>
      <c r="E103" s="111" t="inlineStr">
        <is>
          <t>CH-271A</t>
        </is>
      </c>
      <c r="F103" s="108" t="inlineStr">
        <is>
          <t>IRHS-13-02-06-165</t>
        </is>
      </c>
      <c r="G103" s="109" t="inlineStr">
        <is>
          <t>LA LIBERTAD</t>
        </is>
      </c>
      <c r="H103" s="109" t="inlineStr">
        <is>
          <t>ASCOPE</t>
        </is>
      </c>
      <c r="I103" s="109" t="inlineStr">
        <is>
          <t>RAZURI</t>
        </is>
      </c>
      <c r="J103" s="109" t="inlineStr">
        <is>
          <t>DERECHA</t>
        </is>
      </c>
      <c r="K103" s="109" t="n"/>
      <c r="L103" s="109" t="inlineStr">
        <is>
          <t>HUARMEY-CHICAMA</t>
        </is>
      </c>
      <c r="M103" s="109" t="inlineStr">
        <is>
          <t>CHICAMA</t>
        </is>
      </c>
      <c r="N103" s="109" t="inlineStr">
        <is>
          <t>Unidad Hidrografica 13773</t>
        </is>
      </c>
      <c r="O103" s="109" t="n"/>
      <c r="P103" s="109" t="n">
        <v>17</v>
      </c>
      <c r="Q103" s="109" t="n">
        <v>0</v>
      </c>
      <c r="R103" s="109" t="inlineStr">
        <is>
          <t>ABANTO VILELA, MARIA FLORINDA</t>
        </is>
      </c>
      <c r="S103" s="110" t="inlineStr">
        <is>
          <t>TACE</t>
        </is>
      </c>
      <c r="T103" s="111" t="inlineStr">
        <is>
          <t>CONSUMO HUMANO</t>
        </is>
      </c>
      <c r="U103" s="112" t="n">
        <v>45418</v>
      </c>
      <c r="V103" s="111" t="n">
        <v>-0.7</v>
      </c>
      <c r="W103" s="111" t="n">
        <v>0.2</v>
      </c>
      <c r="X103" s="111" t="n">
        <v>0.9</v>
      </c>
      <c r="Y103" s="104" t="n">
        <v>0</v>
      </c>
      <c r="Z103" s="448" t="n">
        <v>1796</v>
      </c>
      <c r="AA103" s="449" t="n">
        <v>7.34</v>
      </c>
      <c r="AB103" s="453" t="n">
        <v>902</v>
      </c>
      <c r="AC103" s="449" t="n">
        <v>25.1</v>
      </c>
      <c r="AD103" s="108" t="n"/>
      <c r="AE103" s="109" t="inlineStr">
        <is>
          <t>VISITADO</t>
        </is>
      </c>
      <c r="AF103" s="110" t="inlineStr">
        <is>
          <t>2024-05-06T10:40:09.067</t>
        </is>
      </c>
      <c r="AG103" s="115" t="n">
        <v>1.29</v>
      </c>
      <c r="AH103" s="449" t="n">
        <v>0.6</v>
      </c>
      <c r="AI103" s="126" t="n">
        <v>4</v>
      </c>
      <c r="AJ103" s="450" t="n">
        <v>1.09</v>
      </c>
      <c r="AK103" s="118" t="n">
        <v>0.014</v>
      </c>
      <c r="AL103" s="119" t="inlineStr">
        <is>
          <t>(1)</t>
        </is>
      </c>
      <c r="AM103" s="161" t="n">
        <v>0.21</v>
      </c>
      <c r="AN103" s="116" t="n">
        <v>0.14</v>
      </c>
      <c r="AO103" s="124">
        <f>5*39</f>
        <v/>
      </c>
      <c r="AP103" s="123" t="n">
        <v>100</v>
      </c>
      <c r="AQ103" s="163" t="n">
        <v>0</v>
      </c>
      <c r="AR103" s="163" t="n">
        <v>0</v>
      </c>
    </row>
    <row r="104" ht="20.25" customHeight="1">
      <c r="B104" s="76" t="n">
        <v>96</v>
      </c>
      <c r="C104" s="77" t="n">
        <v>687649.278</v>
      </c>
      <c r="D104" s="139" t="n">
        <v>9143342.659600001</v>
      </c>
      <c r="E104" s="83" t="inlineStr">
        <is>
          <t>CH-300B</t>
        </is>
      </c>
      <c r="F104" s="80" t="inlineStr">
        <is>
          <t>IRHS-13-02-05-98</t>
        </is>
      </c>
      <c r="G104" s="81" t="inlineStr">
        <is>
          <t>LA LIBERTAD</t>
        </is>
      </c>
      <c r="H104" s="81" t="inlineStr">
        <is>
          <t>ASCOPE</t>
        </is>
      </c>
      <c r="I104" s="81" t="inlineStr">
        <is>
          <t>PAIJAN</t>
        </is>
      </c>
      <c r="J104" s="81" t="inlineStr">
        <is>
          <t>DERECHA</t>
        </is>
      </c>
      <c r="K104" s="81" t="n"/>
      <c r="L104" s="81" t="inlineStr">
        <is>
          <t>HUARMEY-CHICAMA</t>
        </is>
      </c>
      <c r="M104" s="81" t="inlineStr">
        <is>
          <t>CHICAMA</t>
        </is>
      </c>
      <c r="N104" s="81" t="inlineStr">
        <is>
          <t>Unidad Hidrografica 13773</t>
        </is>
      </c>
      <c r="O104" s="81" t="n"/>
      <c r="P104" s="81" t="n">
        <v>17</v>
      </c>
      <c r="Q104" s="81" t="n">
        <v>0</v>
      </c>
      <c r="R104" s="81" t="inlineStr">
        <is>
          <t>ANGULO CAMACHO, PEDRO</t>
        </is>
      </c>
      <c r="S104" s="82" t="inlineStr">
        <is>
          <t>TASE</t>
        </is>
      </c>
      <c r="T104" s="83" t="inlineStr">
        <is>
          <t>AGRICOLA</t>
        </is>
      </c>
      <c r="U104" s="164" t="n">
        <v>45418</v>
      </c>
      <c r="V104" s="83" t="n">
        <v>-1.9</v>
      </c>
      <c r="W104" s="83" t="n">
        <v>1.36</v>
      </c>
      <c r="X104" s="83" t="n">
        <v>3.26</v>
      </c>
      <c r="Y104" s="76" t="n">
        <v>0</v>
      </c>
      <c r="Z104" s="443" t="n">
        <v>1340</v>
      </c>
      <c r="AA104" s="442" t="n">
        <v>7.45</v>
      </c>
      <c r="AB104" s="443" t="n">
        <v>684</v>
      </c>
      <c r="AC104" s="442" t="n">
        <v>23.9</v>
      </c>
      <c r="AD104" s="165" t="n"/>
      <c r="AE104" s="166" t="inlineStr">
        <is>
          <t>VISITADO</t>
        </is>
      </c>
      <c r="AF104" s="167" t="inlineStr">
        <is>
          <t>2024-05-06T09:33:38.740</t>
        </is>
      </c>
      <c r="AG104" s="88" t="n">
        <v>8.699999999999999</v>
      </c>
      <c r="AH104" s="442" t="n">
        <v>3.15</v>
      </c>
      <c r="AI104" s="98" t="n">
        <v>11</v>
      </c>
      <c r="AJ104" s="444" t="n">
        <v>1.51</v>
      </c>
      <c r="AK104" s="91" t="n">
        <v>0.025</v>
      </c>
      <c r="AL104" s="92" t="inlineStr">
        <is>
          <t>(1)</t>
        </is>
      </c>
      <c r="AM104" s="445" t="n">
        <v>0.23</v>
      </c>
      <c r="AN104" s="91" t="n">
        <v>0.06900000000000001</v>
      </c>
      <c r="AO104" s="140">
        <f>5*43</f>
        <v/>
      </c>
      <c r="AP104" s="96" t="inlineStr">
        <is>
          <t>*</t>
        </is>
      </c>
      <c r="AQ104" s="97" t="inlineStr">
        <is>
          <t>*</t>
        </is>
      </c>
      <c r="AR104" s="97" t="inlineStr">
        <is>
          <t>*</t>
        </is>
      </c>
    </row>
    <row r="105" ht="20.25" customHeight="1">
      <c r="B105" s="76" t="n">
        <v>97</v>
      </c>
      <c r="C105" s="77" t="n">
        <v>686060</v>
      </c>
      <c r="D105" s="139" t="n">
        <v>9146334</v>
      </c>
      <c r="E105" s="83" t="inlineStr">
        <is>
          <t>CH-43A-1</t>
        </is>
      </c>
      <c r="F105" s="80" t="n"/>
      <c r="G105" s="81" t="inlineStr">
        <is>
          <t>LA LIBERTAD</t>
        </is>
      </c>
      <c r="H105" s="81" t="inlineStr">
        <is>
          <t>ASCOPE</t>
        </is>
      </c>
      <c r="I105" s="81" t="inlineStr">
        <is>
          <t>PAIJAN</t>
        </is>
      </c>
      <c r="J105" s="81" t="inlineStr">
        <is>
          <t>DERECHA</t>
        </is>
      </c>
      <c r="K105" s="81" t="n"/>
      <c r="L105" s="81" t="inlineStr">
        <is>
          <t>HUARMEY-CHICAMA</t>
        </is>
      </c>
      <c r="M105" s="81" t="inlineStr">
        <is>
          <t>CHICAMA</t>
        </is>
      </c>
      <c r="N105" s="81" t="inlineStr">
        <is>
          <t>Unidad Hidrografica 13773</t>
        </is>
      </c>
      <c r="O105" s="81" t="n">
        <v>41949</v>
      </c>
      <c r="P105" s="81" t="n">
        <v>17</v>
      </c>
      <c r="Q105" s="81" t="n">
        <v>0</v>
      </c>
      <c r="R105" s="81" t="inlineStr">
        <is>
          <t>PEDRO C. ANICETO VÁSQUEZ</t>
        </is>
      </c>
      <c r="S105" s="82" t="inlineStr">
        <is>
          <t>TACE</t>
        </is>
      </c>
      <c r="T105" s="83" t="inlineStr">
        <is>
          <t>AGRICOLA</t>
        </is>
      </c>
      <c r="U105" s="164" t="n">
        <v>45419</v>
      </c>
      <c r="V105" s="83" t="n">
        <v>0</v>
      </c>
      <c r="W105" s="83" t="n">
        <v>11.3</v>
      </c>
      <c r="X105" s="83" t="n">
        <v>11.3</v>
      </c>
      <c r="Y105" s="76" t="n">
        <v>0</v>
      </c>
      <c r="Z105" s="443" t="n">
        <v>1190</v>
      </c>
      <c r="AA105" s="442" t="n">
        <v>6.86</v>
      </c>
      <c r="AB105" s="443" t="n">
        <v>618</v>
      </c>
      <c r="AC105" s="442" t="n">
        <v>23.4</v>
      </c>
      <c r="AD105" s="165" t="n"/>
      <c r="AE105" s="166" t="inlineStr">
        <is>
          <t>VISITADO</t>
        </is>
      </c>
      <c r="AF105" s="167" t="inlineStr">
        <is>
          <t>2024-05-07T08:15:41.534</t>
        </is>
      </c>
      <c r="AG105" s="88" t="n">
        <v>18.8</v>
      </c>
      <c r="AH105" s="442" t="n">
        <v>2.6</v>
      </c>
      <c r="AI105" s="89" t="n">
        <v>8</v>
      </c>
      <c r="AJ105" s="444" t="n">
        <v>2.16</v>
      </c>
      <c r="AK105" s="91" t="n">
        <v>0.021</v>
      </c>
      <c r="AL105" s="92" t="inlineStr">
        <is>
          <t>(1)</t>
        </is>
      </c>
      <c r="AM105" s="445" t="n">
        <v>0.24</v>
      </c>
      <c r="AN105" s="91" t="n">
        <v>0.051</v>
      </c>
      <c r="AO105" s="140">
        <f>5*38</f>
        <v/>
      </c>
      <c r="AP105" s="96" t="inlineStr">
        <is>
          <t>*</t>
        </is>
      </c>
      <c r="AQ105" s="97" t="inlineStr">
        <is>
          <t>*</t>
        </is>
      </c>
      <c r="AR105" s="97" t="inlineStr">
        <is>
          <t>*</t>
        </is>
      </c>
    </row>
    <row r="106" ht="20.25" customHeight="1">
      <c r="B106" s="76" t="n">
        <v>98</v>
      </c>
      <c r="C106" s="77" t="n">
        <v>684610</v>
      </c>
      <c r="D106" s="139" t="n">
        <v>9150775</v>
      </c>
      <c r="E106" s="83" t="inlineStr">
        <is>
          <t>CH-99A</t>
        </is>
      </c>
      <c r="F106" s="80" t="inlineStr">
        <is>
          <t>IRHS-13-02-06-974</t>
        </is>
      </c>
      <c r="G106" s="81" t="inlineStr">
        <is>
          <t>LA LIBERTAD</t>
        </is>
      </c>
      <c r="H106" s="81" t="inlineStr">
        <is>
          <t>ASCOPE</t>
        </is>
      </c>
      <c r="I106" s="81" t="inlineStr">
        <is>
          <t>RAZURI</t>
        </is>
      </c>
      <c r="J106" s="81" t="inlineStr">
        <is>
          <t>DERECHA</t>
        </is>
      </c>
      <c r="K106" s="81" t="n"/>
      <c r="L106" s="81" t="inlineStr">
        <is>
          <t>HUARMEY-CHICAMA</t>
        </is>
      </c>
      <c r="M106" s="81" t="inlineStr">
        <is>
          <t>CHICAMA</t>
        </is>
      </c>
      <c r="N106" s="81" t="inlineStr">
        <is>
          <t>Unidad Hidrografica 13773</t>
        </is>
      </c>
      <c r="O106" s="81" t="n">
        <v>41795</v>
      </c>
      <c r="P106" s="81" t="n">
        <v>17</v>
      </c>
      <c r="Q106" s="81" t="n">
        <v>0</v>
      </c>
      <c r="R106" s="81" t="inlineStr">
        <is>
          <t>LINDORFIO NARRO SAENZ</t>
        </is>
      </c>
      <c r="S106" s="82" t="inlineStr">
        <is>
          <t>TASE</t>
        </is>
      </c>
      <c r="T106" s="83" t="inlineStr">
        <is>
          <t>CONSUMO HUMANO-AGRICOLA</t>
        </is>
      </c>
      <c r="U106" s="164" t="n">
        <v>45425</v>
      </c>
      <c r="V106" s="83" t="n">
        <v>0.37</v>
      </c>
      <c r="W106" s="83" t="n">
        <v>6.36</v>
      </c>
      <c r="X106" s="83" t="n">
        <v>5.99</v>
      </c>
      <c r="Y106" s="76" t="n">
        <v>0</v>
      </c>
      <c r="Z106" s="443" t="n">
        <v>1009</v>
      </c>
      <c r="AA106" s="442" t="n">
        <v>7.63</v>
      </c>
      <c r="AB106" s="443" t="n">
        <v>499</v>
      </c>
      <c r="AC106" s="442" t="n">
        <v>25.1</v>
      </c>
      <c r="AD106" s="165" t="inlineStr">
        <is>
          <t>CAMBIO DE PR</t>
        </is>
      </c>
      <c r="AE106" s="166" t="inlineStr">
        <is>
          <t>VISITADO</t>
        </is>
      </c>
      <c r="AF106" s="167" t="inlineStr">
        <is>
          <t>2024-05-13T08:47:12.586</t>
        </is>
      </c>
      <c r="AG106" s="100" t="n">
        <v>1.62</v>
      </c>
      <c r="AH106" s="442" t="n">
        <v>1.3</v>
      </c>
      <c r="AI106" s="98" t="n">
        <v>12</v>
      </c>
      <c r="AJ106" s="444" t="n">
        <v>1.69</v>
      </c>
      <c r="AK106" s="91" t="n">
        <v>0.017</v>
      </c>
      <c r="AL106" s="92" t="inlineStr">
        <is>
          <t>(1)</t>
        </is>
      </c>
      <c r="AM106" s="445" t="n">
        <v>0.26</v>
      </c>
      <c r="AN106" s="91" t="n">
        <v>0.046</v>
      </c>
      <c r="AO106" s="140">
        <f>5*39</f>
        <v/>
      </c>
      <c r="AP106" s="96" t="inlineStr">
        <is>
          <t>*</t>
        </is>
      </c>
      <c r="AQ106" s="97" t="inlineStr">
        <is>
          <t>*</t>
        </is>
      </c>
      <c r="AR106" s="97" t="inlineStr">
        <is>
          <t>*</t>
        </is>
      </c>
    </row>
    <row r="107" ht="20.25" customHeight="1">
      <c r="B107" s="76" t="n">
        <v>99</v>
      </c>
      <c r="C107" s="77" t="n">
        <v>677277.6801</v>
      </c>
      <c r="D107" s="139" t="n">
        <v>9147697.346899999</v>
      </c>
      <c r="E107" s="83" t="inlineStr">
        <is>
          <t>CH-287A</t>
        </is>
      </c>
      <c r="F107" s="80" t="inlineStr">
        <is>
          <t>IRHS-13-02-06-356</t>
        </is>
      </c>
      <c r="G107" s="81" t="inlineStr">
        <is>
          <t>LA LIBERTAD</t>
        </is>
      </c>
      <c r="H107" s="81" t="inlineStr">
        <is>
          <t>ASCOPE</t>
        </is>
      </c>
      <c r="I107" s="81" t="inlineStr">
        <is>
          <t>RAZURI</t>
        </is>
      </c>
      <c r="J107" s="81" t="inlineStr">
        <is>
          <t>DERECHA</t>
        </is>
      </c>
      <c r="K107" s="81" t="n"/>
      <c r="L107" s="81" t="inlineStr">
        <is>
          <t>HUARMEY-CHICAMA</t>
        </is>
      </c>
      <c r="M107" s="81" t="inlineStr">
        <is>
          <t>CHICAMA</t>
        </is>
      </c>
      <c r="N107" s="81" t="inlineStr">
        <is>
          <t>Intercuenca 13773</t>
        </is>
      </c>
      <c r="O107" s="81" t="n"/>
      <c r="P107" s="81" t="n">
        <v>17</v>
      </c>
      <c r="Q107" s="81" t="n">
        <v>0</v>
      </c>
      <c r="R107" s="81" t="inlineStr">
        <is>
          <t>SALAZAR RUIZ, JUAN MANUEL</t>
        </is>
      </c>
      <c r="S107" s="82" t="n"/>
      <c r="T107" s="83" t="inlineStr">
        <is>
          <t>CONSUMO HUMANO Y AGRICOLA</t>
        </is>
      </c>
      <c r="U107" s="164" t="n">
        <v>45422</v>
      </c>
      <c r="V107" s="83" t="n">
        <v>0</v>
      </c>
      <c r="W107" s="83" t="n">
        <v>2.72</v>
      </c>
      <c r="X107" s="83" t="n">
        <v>2.72</v>
      </c>
      <c r="Y107" s="76" t="n">
        <v>0</v>
      </c>
      <c r="Z107" s="441" t="n">
        <v>1677</v>
      </c>
      <c r="AA107" s="442" t="n">
        <v>7.54</v>
      </c>
      <c r="AB107" s="443" t="n">
        <v>836</v>
      </c>
      <c r="AC107" s="442" t="n">
        <v>25.7</v>
      </c>
      <c r="AD107" s="165" t="inlineStr">
        <is>
          <t>POZO NUEVO MUESTRA 99</t>
        </is>
      </c>
      <c r="AE107" s="166" t="inlineStr">
        <is>
          <t>VISITADO</t>
        </is>
      </c>
      <c r="AF107" s="167" t="inlineStr">
        <is>
          <t>2024-05-10T12:48:46.716</t>
        </is>
      </c>
      <c r="AG107" s="100" t="n">
        <v>2.01</v>
      </c>
      <c r="AH107" s="442" t="n">
        <v>2.6</v>
      </c>
      <c r="AI107" s="89" t="n">
        <v>6</v>
      </c>
      <c r="AJ107" s="444" t="n">
        <v>0.34</v>
      </c>
      <c r="AK107" s="91" t="n">
        <v>0.026</v>
      </c>
      <c r="AL107" s="92" t="inlineStr">
        <is>
          <t>(1)</t>
        </is>
      </c>
      <c r="AM107" s="445" t="n">
        <v>0.16</v>
      </c>
      <c r="AN107" s="91" t="n">
        <v>0.039</v>
      </c>
      <c r="AO107" s="140">
        <f>5*40</f>
        <v/>
      </c>
      <c r="AP107" s="96" t="inlineStr">
        <is>
          <t>*</t>
        </is>
      </c>
      <c r="AQ107" s="97" t="inlineStr">
        <is>
          <t>*</t>
        </is>
      </c>
      <c r="AR107" s="97" t="inlineStr">
        <is>
          <t>*</t>
        </is>
      </c>
    </row>
    <row r="108" ht="20.25" customHeight="1">
      <c r="B108" s="76" t="n">
        <v>100</v>
      </c>
      <c r="C108" s="77" t="n">
        <v>683827</v>
      </c>
      <c r="D108" s="139" t="n">
        <v>9148261</v>
      </c>
      <c r="E108" s="83" t="inlineStr">
        <is>
          <t>CH-84A</t>
        </is>
      </c>
      <c r="F108" s="80" t="n"/>
      <c r="G108" s="81" t="inlineStr">
        <is>
          <t>LA LIBERTAD</t>
        </is>
      </c>
      <c r="H108" s="81" t="inlineStr">
        <is>
          <t>ASCOPE</t>
        </is>
      </c>
      <c r="I108" s="81" t="inlineStr">
        <is>
          <t>PAIJAN</t>
        </is>
      </c>
      <c r="J108" s="81" t="inlineStr">
        <is>
          <t>DERECHA</t>
        </is>
      </c>
      <c r="K108" s="81" t="n"/>
      <c r="L108" s="81" t="inlineStr">
        <is>
          <t>HUARMEY-CHICAMA</t>
        </is>
      </c>
      <c r="M108" s="81" t="inlineStr">
        <is>
          <t>CHICAMA</t>
        </is>
      </c>
      <c r="N108" s="81" t="inlineStr">
        <is>
          <t>Unidad Hidrografica 13773</t>
        </is>
      </c>
      <c r="O108" s="81" t="n"/>
      <c r="P108" s="81" t="n">
        <v>17</v>
      </c>
      <c r="Q108" s="81" t="n">
        <v>0</v>
      </c>
      <c r="R108" s="81" t="inlineStr">
        <is>
          <t>PURIZAGA GARCIA, INES</t>
        </is>
      </c>
      <c r="S108" s="82" t="inlineStr">
        <is>
          <t>TACE</t>
        </is>
      </c>
      <c r="T108" s="83" t="inlineStr">
        <is>
          <t>AGRICOLA</t>
        </is>
      </c>
      <c r="U108" s="164" t="n">
        <v>45419</v>
      </c>
      <c r="V108" s="83" t="n">
        <v>0.65</v>
      </c>
      <c r="W108" s="83" t="n">
        <v>1.56</v>
      </c>
      <c r="X108" s="83" t="n">
        <v>0.91</v>
      </c>
      <c r="Y108" s="76" t="n">
        <v>0</v>
      </c>
      <c r="Z108" s="443" t="n">
        <v>1252</v>
      </c>
      <c r="AA108" s="442" t="n">
        <v>7.32</v>
      </c>
      <c r="AB108" s="443" t="n">
        <v>634</v>
      </c>
      <c r="AC108" s="442" t="n">
        <v>23.6</v>
      </c>
      <c r="AD108" s="165" t="n"/>
      <c r="AE108" s="166" t="inlineStr">
        <is>
          <t>VISITADO</t>
        </is>
      </c>
      <c r="AF108" s="167" t="inlineStr">
        <is>
          <t>2024-05-07T10:37:57.152</t>
        </is>
      </c>
      <c r="AG108" s="100" t="n">
        <v>1.88</v>
      </c>
      <c r="AH108" s="442" t="n">
        <v>0.7</v>
      </c>
      <c r="AI108" s="89" t="n">
        <v>10</v>
      </c>
      <c r="AJ108" s="444" t="n">
        <v>2</v>
      </c>
      <c r="AK108" s="91" t="n">
        <v>0.032</v>
      </c>
      <c r="AL108" s="92" t="inlineStr">
        <is>
          <t>(1)</t>
        </is>
      </c>
      <c r="AM108" s="445" t="n">
        <v>0.19</v>
      </c>
      <c r="AN108" s="91" t="n">
        <v>0.032</v>
      </c>
      <c r="AO108" s="140">
        <f>5*44</f>
        <v/>
      </c>
      <c r="AP108" s="96" t="inlineStr">
        <is>
          <t>*</t>
        </is>
      </c>
      <c r="AQ108" s="97" t="inlineStr">
        <is>
          <t>*</t>
        </is>
      </c>
      <c r="AR108" s="97" t="inlineStr">
        <is>
          <t>*</t>
        </is>
      </c>
    </row>
    <row r="109" ht="20.25" customHeight="1">
      <c r="B109" s="76" t="n">
        <v>101</v>
      </c>
      <c r="C109" s="77" t="n">
        <v>684637</v>
      </c>
      <c r="D109" s="139" t="n">
        <v>9145658</v>
      </c>
      <c r="E109" s="83" t="inlineStr">
        <is>
          <t>CH-56A-2</t>
        </is>
      </c>
      <c r="F109" s="80" t="inlineStr">
        <is>
          <t>IRHS-13-02-05-51</t>
        </is>
      </c>
      <c r="G109" s="81" t="inlineStr">
        <is>
          <t>LA LIBERTAD</t>
        </is>
      </c>
      <c r="H109" s="81" t="inlineStr">
        <is>
          <t>ASCOPE</t>
        </is>
      </c>
      <c r="I109" s="81" t="inlineStr">
        <is>
          <t>PAIJAN</t>
        </is>
      </c>
      <c r="J109" s="81" t="inlineStr">
        <is>
          <t>DERECHA</t>
        </is>
      </c>
      <c r="K109" s="81" t="n"/>
      <c r="L109" s="81" t="inlineStr">
        <is>
          <t>HUARMEY-CHICAMA</t>
        </is>
      </c>
      <c r="M109" s="81" t="inlineStr">
        <is>
          <t>CHICAMA</t>
        </is>
      </c>
      <c r="N109" s="81" t="inlineStr">
        <is>
          <t>Unidad Hidrografica 13773</t>
        </is>
      </c>
      <c r="O109" s="81" t="n">
        <v>41927</v>
      </c>
      <c r="P109" s="81" t="n">
        <v>17</v>
      </c>
      <c r="Q109" s="81" t="n">
        <v>0</v>
      </c>
      <c r="R109" s="81" t="inlineStr">
        <is>
          <t>ROSA CÁCERES</t>
        </is>
      </c>
      <c r="S109" s="82" t="inlineStr">
        <is>
          <t>TSE</t>
        </is>
      </c>
      <c r="T109" s="83" t="inlineStr">
        <is>
          <t>ENTERRADO</t>
        </is>
      </c>
      <c r="U109" s="164" t="n">
        <v>45419</v>
      </c>
      <c r="V109" s="83" t="n">
        <v>0</v>
      </c>
      <c r="W109" s="83" t="n">
        <v>0</v>
      </c>
      <c r="X109" s="83" t="n">
        <v>0</v>
      </c>
      <c r="Y109" s="76" t="n">
        <v>0</v>
      </c>
      <c r="Z109" s="458" t="n"/>
      <c r="AA109" s="458" t="inlineStr">
        <is>
          <t>-</t>
        </is>
      </c>
      <c r="AB109" s="168" t="n"/>
      <c r="AC109" s="442" t="n"/>
      <c r="AD109" s="165" t="inlineStr">
        <is>
          <t>ENTERRADO</t>
        </is>
      </c>
      <c r="AE109" s="166" t="inlineStr">
        <is>
          <t>VISITADO</t>
        </is>
      </c>
      <c r="AF109" s="167" t="inlineStr">
        <is>
          <t>2024-05-07T09:02:26.471</t>
        </is>
      </c>
      <c r="AG109" s="168" t="n"/>
      <c r="AH109" s="169" t="n"/>
      <c r="AI109" s="168" t="n"/>
      <c r="AJ109" s="461" t="n"/>
      <c r="AK109" s="168" t="n"/>
      <c r="AL109" s="171" t="n"/>
      <c r="AM109" s="172" t="n"/>
      <c r="AN109" s="168" t="n"/>
      <c r="AO109" s="169" t="n"/>
      <c r="AP109" s="173" t="n"/>
      <c r="AQ109" s="169" t="n"/>
      <c r="AR109" s="169" t="n"/>
    </row>
    <row r="110" ht="20.25" customHeight="1">
      <c r="B110" s="76" t="n">
        <v>102</v>
      </c>
      <c r="C110" s="77" t="n">
        <v>685322</v>
      </c>
      <c r="D110" s="139" t="n">
        <v>9144115</v>
      </c>
      <c r="E110" s="83" t="inlineStr">
        <is>
          <t>CH-31A-2</t>
        </is>
      </c>
      <c r="F110" s="80" t="n"/>
      <c r="G110" s="81" t="inlineStr">
        <is>
          <t>LA LIBERTAD</t>
        </is>
      </c>
      <c r="H110" s="81" t="inlineStr">
        <is>
          <t>ASCOPE</t>
        </is>
      </c>
      <c r="I110" s="81" t="inlineStr">
        <is>
          <t>PAIJAN</t>
        </is>
      </c>
      <c r="J110" s="81" t="inlineStr">
        <is>
          <t>DERECHA</t>
        </is>
      </c>
      <c r="K110" s="81" t="n"/>
      <c r="L110" s="81" t="inlineStr">
        <is>
          <t>HUARMEY-CHICAMA</t>
        </is>
      </c>
      <c r="M110" s="81" t="inlineStr">
        <is>
          <t>CHICAMA</t>
        </is>
      </c>
      <c r="N110" s="81" t="inlineStr">
        <is>
          <t>Unidad Hidrografica 13773</t>
        </is>
      </c>
      <c r="O110" s="81" t="n"/>
      <c r="P110" s="81" t="n">
        <v>17</v>
      </c>
      <c r="Q110" s="81" t="n">
        <v>0</v>
      </c>
      <c r="R110" s="81" t="inlineStr">
        <is>
          <t>REYES EUGENIO, JOSE MELECIO</t>
        </is>
      </c>
      <c r="S110" s="82" t="inlineStr">
        <is>
          <t>TACE</t>
        </is>
      </c>
      <c r="T110" s="83" t="inlineStr">
        <is>
          <t>AGRÍCOLA</t>
        </is>
      </c>
      <c r="U110" s="164" t="n">
        <v>45418</v>
      </c>
      <c r="V110" s="83" t="n">
        <v>0.2</v>
      </c>
      <c r="W110" s="83" t="n">
        <v>3.17</v>
      </c>
      <c r="X110" s="83" t="n">
        <v>2.97</v>
      </c>
      <c r="Y110" s="76" t="n">
        <v>0</v>
      </c>
      <c r="Z110" s="443" t="n">
        <v>1288</v>
      </c>
      <c r="AA110" s="442" t="n">
        <v>7.4</v>
      </c>
      <c r="AB110" s="443" t="n">
        <v>655</v>
      </c>
      <c r="AC110" s="442" t="n">
        <v>24.4</v>
      </c>
      <c r="AD110" s="165" t="n"/>
      <c r="AE110" s="166" t="inlineStr">
        <is>
          <t>VISITADO</t>
        </is>
      </c>
      <c r="AF110" s="167" t="inlineStr">
        <is>
          <t>2024-05-06T10:14:03.457</t>
        </is>
      </c>
      <c r="AG110" s="88" t="n">
        <v>6.6</v>
      </c>
      <c r="AH110" s="442" t="n">
        <v>0.2</v>
      </c>
      <c r="AI110" s="89" t="n">
        <v>5</v>
      </c>
      <c r="AJ110" s="444" t="n">
        <v>2.06</v>
      </c>
      <c r="AK110" s="91" t="n">
        <v>0.014</v>
      </c>
      <c r="AL110" s="92" t="inlineStr">
        <is>
          <t>(1)</t>
        </is>
      </c>
      <c r="AM110" s="445" t="n">
        <v>0.18</v>
      </c>
      <c r="AN110" s="91" t="n">
        <v>0.073</v>
      </c>
      <c r="AO110" s="140">
        <f>5*40</f>
        <v/>
      </c>
      <c r="AP110" s="96" t="inlineStr">
        <is>
          <t>*</t>
        </is>
      </c>
      <c r="AQ110" s="97" t="inlineStr">
        <is>
          <t>*</t>
        </is>
      </c>
      <c r="AR110" s="97" t="inlineStr">
        <is>
          <t>*</t>
        </is>
      </c>
    </row>
    <row r="111" ht="20.25" customHeight="1">
      <c r="B111" s="76" t="n">
        <v>103</v>
      </c>
      <c r="C111" s="77" t="n">
        <v>683634</v>
      </c>
      <c r="D111" s="139" t="n">
        <v>9141754</v>
      </c>
      <c r="E111" s="83" t="inlineStr">
        <is>
          <t>CH-248</t>
        </is>
      </c>
      <c r="F111" s="80" t="inlineStr">
        <is>
          <t>IRHS-13-02-06-248</t>
        </is>
      </c>
      <c r="G111" s="81" t="inlineStr">
        <is>
          <t>LA LIBERTAD</t>
        </is>
      </c>
      <c r="H111" s="81" t="inlineStr">
        <is>
          <t>ASCOPE</t>
        </is>
      </c>
      <c r="I111" s="81" t="inlineStr">
        <is>
          <t>RAZURI</t>
        </is>
      </c>
      <c r="J111" s="81" t="inlineStr">
        <is>
          <t>DERECHA</t>
        </is>
      </c>
      <c r="K111" s="81" t="n"/>
      <c r="L111" s="81" t="inlineStr">
        <is>
          <t>HUARMEY-CHICAMA</t>
        </is>
      </c>
      <c r="M111" s="81" t="inlineStr">
        <is>
          <t>CHICAMA</t>
        </is>
      </c>
      <c r="N111" s="81" t="inlineStr">
        <is>
          <t>Unidad Hidrografica 13773</t>
        </is>
      </c>
      <c r="O111" s="81" t="n">
        <v>41894</v>
      </c>
      <c r="P111" s="81" t="n">
        <v>17</v>
      </c>
      <c r="Q111" s="81" t="n">
        <v>0</v>
      </c>
      <c r="R111" s="81" t="inlineStr">
        <is>
          <t>AUREA ARBULÚ LEÓN</t>
        </is>
      </c>
      <c r="S111" s="82" t="inlineStr">
        <is>
          <t>TASE</t>
        </is>
      </c>
      <c r="T111" s="83" t="inlineStr">
        <is>
          <t>AGRICOLA</t>
        </is>
      </c>
      <c r="U111" s="164" t="n">
        <v>45418</v>
      </c>
      <c r="V111" s="83" t="n">
        <v>0.25</v>
      </c>
      <c r="W111" s="83" t="n">
        <v>1.5</v>
      </c>
      <c r="X111" s="83" t="n">
        <v>1.25</v>
      </c>
      <c r="Y111" s="76" t="n">
        <v>0</v>
      </c>
      <c r="Z111" s="441" t="n">
        <v>2026</v>
      </c>
      <c r="AA111" s="442" t="n">
        <v>7.66</v>
      </c>
      <c r="AB111" s="441" t="n">
        <v>1024</v>
      </c>
      <c r="AC111" s="442" t="n">
        <v>25.3</v>
      </c>
      <c r="AD111" s="165" t="n"/>
      <c r="AE111" s="166" t="inlineStr">
        <is>
          <t>VISITADO</t>
        </is>
      </c>
      <c r="AF111" s="167" t="inlineStr">
        <is>
          <t>2024-05-06T12:46:27.978</t>
        </is>
      </c>
      <c r="AG111" s="100" t="n">
        <v>1.87</v>
      </c>
      <c r="AH111" s="442" t="n">
        <v>0.3</v>
      </c>
      <c r="AI111" s="98" t="n">
        <v>11</v>
      </c>
      <c r="AJ111" s="444" t="n">
        <v>1.57</v>
      </c>
      <c r="AK111" s="91" t="n">
        <v>0.025</v>
      </c>
      <c r="AL111" s="92" t="inlineStr">
        <is>
          <t>(1)</t>
        </is>
      </c>
      <c r="AM111" s="445" t="n">
        <v>0.43</v>
      </c>
      <c r="AN111" s="91" t="n">
        <v>0.031</v>
      </c>
      <c r="AO111" s="140">
        <f>5*39</f>
        <v/>
      </c>
      <c r="AP111" s="96" t="inlineStr">
        <is>
          <t>*</t>
        </is>
      </c>
      <c r="AQ111" s="97" t="inlineStr">
        <is>
          <t>*</t>
        </is>
      </c>
      <c r="AR111" s="97" t="inlineStr">
        <is>
          <t>*</t>
        </is>
      </c>
    </row>
    <row r="112" ht="20.25" customHeight="1">
      <c r="B112" s="76" t="n">
        <v>104</v>
      </c>
      <c r="C112" s="77" t="n">
        <v>680510</v>
      </c>
      <c r="D112" s="139" t="n">
        <v>9141184</v>
      </c>
      <c r="E112" s="83" t="inlineStr">
        <is>
          <t>CH-276A</t>
        </is>
      </c>
      <c r="F112" s="80" t="n"/>
      <c r="G112" s="81" t="inlineStr">
        <is>
          <t>LA LIBERTAD</t>
        </is>
      </c>
      <c r="H112" s="81" t="inlineStr">
        <is>
          <t>ASCOPE</t>
        </is>
      </c>
      <c r="I112" s="81" t="inlineStr">
        <is>
          <t>RAZURI</t>
        </is>
      </c>
      <c r="J112" s="81" t="inlineStr">
        <is>
          <t>DERECHA</t>
        </is>
      </c>
      <c r="K112" s="81" t="n"/>
      <c r="L112" s="81" t="inlineStr">
        <is>
          <t>HUARMEY-CHICAMA</t>
        </is>
      </c>
      <c r="M112" s="81" t="inlineStr">
        <is>
          <t>CHICAMA</t>
        </is>
      </c>
      <c r="N112" s="81" t="inlineStr">
        <is>
          <t>Unidad Hidrografica 13773</t>
        </is>
      </c>
      <c r="O112" s="81" t="n"/>
      <c r="P112" s="81" t="n">
        <v>17</v>
      </c>
      <c r="Q112" s="81" t="n">
        <v>0</v>
      </c>
      <c r="R112" s="81" t="inlineStr">
        <is>
          <t>IGLESIAS FLORIAN, AMERICO ALADINO</t>
        </is>
      </c>
      <c r="S112" s="82" t="inlineStr">
        <is>
          <t>TASE</t>
        </is>
      </c>
      <c r="T112" s="83" t="inlineStr">
        <is>
          <t>AGRICOLA</t>
        </is>
      </c>
      <c r="U112" s="164" t="n">
        <v>45418</v>
      </c>
      <c r="V112" s="83" t="n">
        <v>0.5</v>
      </c>
      <c r="W112" s="83" t="n">
        <v>1.28</v>
      </c>
      <c r="X112" s="83" t="n">
        <v>0.78</v>
      </c>
      <c r="Y112" s="76" t="n">
        <v>0</v>
      </c>
      <c r="Z112" s="441" t="n">
        <v>2350</v>
      </c>
      <c r="AA112" s="442" t="n">
        <v>7.64</v>
      </c>
      <c r="AB112" s="441" t="n">
        <v>1239</v>
      </c>
      <c r="AC112" s="442" t="n">
        <v>23.5</v>
      </c>
      <c r="AD112" s="165" t="n"/>
      <c r="AE112" s="166" t="inlineStr">
        <is>
          <t>VISITADO</t>
        </is>
      </c>
      <c r="AF112" s="167" t="inlineStr">
        <is>
          <t>2024-05-06T12:23:52.910</t>
        </is>
      </c>
      <c r="AG112" s="174" t="n">
        <v>2.04</v>
      </c>
      <c r="AH112" s="442" t="n">
        <v>0.1</v>
      </c>
      <c r="AI112" s="89" t="n">
        <v>8</v>
      </c>
      <c r="AJ112" s="444" t="n">
        <v>2.32</v>
      </c>
      <c r="AK112" s="91" t="n">
        <v>0.029</v>
      </c>
      <c r="AL112" s="92" t="inlineStr">
        <is>
          <t>(1)</t>
        </is>
      </c>
      <c r="AM112" s="445" t="n">
        <v>0.32</v>
      </c>
      <c r="AN112" s="91" t="n">
        <v>0.032</v>
      </c>
      <c r="AO112" s="140">
        <f>5*37</f>
        <v/>
      </c>
      <c r="AP112" s="96" t="inlineStr">
        <is>
          <t>*</t>
        </is>
      </c>
      <c r="AQ112" s="97" t="inlineStr">
        <is>
          <t>*</t>
        </is>
      </c>
      <c r="AR112" s="97" t="inlineStr">
        <is>
          <t>*</t>
        </is>
      </c>
    </row>
    <row r="113" ht="20.25" customHeight="1">
      <c r="B113" s="76" t="n">
        <v>105</v>
      </c>
      <c r="C113" s="77" t="n">
        <v>681952.3291</v>
      </c>
      <c r="D113" s="139" t="n">
        <v>9143554.779100001</v>
      </c>
      <c r="E113" s="83" t="inlineStr">
        <is>
          <t>CH-278A</t>
        </is>
      </c>
      <c r="F113" s="80" t="n"/>
      <c r="G113" s="81" t="inlineStr">
        <is>
          <t>LA LIBERTAD</t>
        </is>
      </c>
      <c r="H113" s="81" t="inlineStr">
        <is>
          <t>ASCOPE</t>
        </is>
      </c>
      <c r="I113" s="81" t="inlineStr">
        <is>
          <t>RAZURI</t>
        </is>
      </c>
      <c r="J113" s="81" t="inlineStr">
        <is>
          <t>DERECHA</t>
        </is>
      </c>
      <c r="K113" s="81" t="n"/>
      <c r="L113" s="81" t="inlineStr">
        <is>
          <t>HUARMEY-CHICAMA</t>
        </is>
      </c>
      <c r="M113" s="81" t="inlineStr">
        <is>
          <t>CHICAMA</t>
        </is>
      </c>
      <c r="N113" s="81" t="inlineStr">
        <is>
          <t>Intercuenca 13773</t>
        </is>
      </c>
      <c r="O113" s="81" t="n"/>
      <c r="P113" s="81" t="n">
        <v>17</v>
      </c>
      <c r="Q113" s="81" t="n">
        <v>0</v>
      </c>
      <c r="R113" s="81" t="inlineStr">
        <is>
          <t>CACERES SANCHEZ, CESAR GUILLERMO</t>
        </is>
      </c>
      <c r="S113" s="82" t="inlineStr">
        <is>
          <t>TASE</t>
        </is>
      </c>
      <c r="T113" s="83" t="inlineStr">
        <is>
          <t>AGRÍCOLA</t>
        </is>
      </c>
      <c r="U113" s="164" t="n">
        <v>45422</v>
      </c>
      <c r="V113" s="83" t="n">
        <v>0</v>
      </c>
      <c r="W113" s="83" t="n">
        <v>2.39</v>
      </c>
      <c r="X113" s="83" t="n">
        <v>2.39</v>
      </c>
      <c r="Y113" s="76" t="n">
        <v>0</v>
      </c>
      <c r="Z113" s="441" t="n">
        <v>3000</v>
      </c>
      <c r="AA113" s="442" t="n">
        <v>7.54</v>
      </c>
      <c r="AB113" s="441" t="n">
        <v>1601</v>
      </c>
      <c r="AC113" s="442" t="n">
        <v>23.2</v>
      </c>
      <c r="AD113" s="165" t="inlineStr">
        <is>
          <t>POZO NUEVO MUESTRA 105</t>
        </is>
      </c>
      <c r="AE113" s="166" t="inlineStr">
        <is>
          <t>VISITADO</t>
        </is>
      </c>
      <c r="AF113" s="167" t="inlineStr">
        <is>
          <t>2024-05-10T08:25:10.583</t>
        </is>
      </c>
      <c r="AG113" s="100" t="n">
        <v>0.608</v>
      </c>
      <c r="AH113" s="442" t="n">
        <v>0.2</v>
      </c>
      <c r="AI113" s="89" t="n">
        <v>8</v>
      </c>
      <c r="AJ113" s="444" t="n">
        <v>1.36</v>
      </c>
      <c r="AK113" s="91" t="n">
        <v>0.022</v>
      </c>
      <c r="AL113" s="92" t="inlineStr">
        <is>
          <t>(1)</t>
        </is>
      </c>
      <c r="AM113" s="445" t="n">
        <v>1.03</v>
      </c>
      <c r="AN113" s="91" t="n">
        <v>0.036</v>
      </c>
      <c r="AO113" s="140">
        <f>5*39</f>
        <v/>
      </c>
      <c r="AP113" s="96" t="inlineStr">
        <is>
          <t>*</t>
        </is>
      </c>
      <c r="AQ113" s="97" t="inlineStr">
        <is>
          <t>*</t>
        </is>
      </c>
      <c r="AR113" s="97" t="inlineStr">
        <is>
          <t>*</t>
        </is>
      </c>
    </row>
    <row r="114" ht="20.25" customHeight="1">
      <c r="B114" s="76" t="n">
        <v>106</v>
      </c>
      <c r="C114" s="77" t="n">
        <v>680696</v>
      </c>
      <c r="D114" s="139" t="n">
        <v>9144714</v>
      </c>
      <c r="E114" s="83" t="inlineStr">
        <is>
          <t>CH-252A</t>
        </is>
      </c>
      <c r="F114" s="80" t="inlineStr">
        <is>
          <t>IRHS-13-02-06-1051</t>
        </is>
      </c>
      <c r="G114" s="81" t="inlineStr">
        <is>
          <t>LA LIBERTAD</t>
        </is>
      </c>
      <c r="H114" s="81" t="inlineStr">
        <is>
          <t>ASCOPE</t>
        </is>
      </c>
      <c r="I114" s="81" t="inlineStr">
        <is>
          <t>RAZURI</t>
        </is>
      </c>
      <c r="J114" s="81" t="inlineStr">
        <is>
          <t>DERECHA</t>
        </is>
      </c>
      <c r="K114" s="81" t="n"/>
      <c r="L114" s="81" t="inlineStr">
        <is>
          <t>HUARMEY-CHICAMA</t>
        </is>
      </c>
      <c r="M114" s="81" t="inlineStr">
        <is>
          <t>CHICAMA</t>
        </is>
      </c>
      <c r="N114" s="81" t="inlineStr">
        <is>
          <t>Unidad Hidrografica 13773</t>
        </is>
      </c>
      <c r="O114" s="81" t="n">
        <v>41886</v>
      </c>
      <c r="P114" s="81" t="n">
        <v>17</v>
      </c>
      <c r="Q114" s="81" t="n">
        <v>0</v>
      </c>
      <c r="R114" s="81" t="inlineStr">
        <is>
          <t>QUINTERO DIAZ, VICENTE ANTONIO</t>
        </is>
      </c>
      <c r="S114" s="82" t="inlineStr">
        <is>
          <t>TACE</t>
        </is>
      </c>
      <c r="T114" s="83" t="inlineStr">
        <is>
          <t>AGRICOLA</t>
        </is>
      </c>
      <c r="U114" s="164" t="n">
        <v>45422</v>
      </c>
      <c r="V114" s="83" t="n">
        <v>0</v>
      </c>
      <c r="W114" s="83" t="n">
        <v>2.28</v>
      </c>
      <c r="X114" s="83" t="n">
        <v>2.28</v>
      </c>
      <c r="Y114" s="76" t="n">
        <v>0</v>
      </c>
      <c r="Z114" s="441" t="n">
        <v>2002</v>
      </c>
      <c r="AA114" s="442" t="n">
        <v>7.51</v>
      </c>
      <c r="AB114" s="441" t="n">
        <v>1020</v>
      </c>
      <c r="AC114" s="442" t="n">
        <v>24.8</v>
      </c>
      <c r="AD114" s="165" t="n"/>
      <c r="AE114" s="166" t="inlineStr">
        <is>
          <t>VISITADO</t>
        </is>
      </c>
      <c r="AF114" s="167" t="inlineStr">
        <is>
          <t>2024-05-10T08:47:55.182</t>
        </is>
      </c>
      <c r="AG114" s="100" t="n">
        <v>1.44</v>
      </c>
      <c r="AH114" s="442" t="n">
        <v>0.2</v>
      </c>
      <c r="AI114" s="89" t="n">
        <v>9</v>
      </c>
      <c r="AJ114" s="444" t="n">
        <v>2.21</v>
      </c>
      <c r="AK114" s="91" t="n">
        <v>0.027</v>
      </c>
      <c r="AL114" s="92" t="inlineStr">
        <is>
          <t>(1)</t>
        </is>
      </c>
      <c r="AM114" s="445" t="n">
        <v>0.25</v>
      </c>
      <c r="AN114" s="91" t="n">
        <v>0.036</v>
      </c>
      <c r="AO114" s="140">
        <f>5*43</f>
        <v/>
      </c>
      <c r="AP114" s="96" t="inlineStr">
        <is>
          <t>*</t>
        </is>
      </c>
      <c r="AQ114" s="97" t="inlineStr">
        <is>
          <t>*</t>
        </is>
      </c>
      <c r="AR114" s="97" t="inlineStr">
        <is>
          <t>*</t>
        </is>
      </c>
    </row>
    <row r="115" ht="20.25" customFormat="1" customHeight="1" s="54">
      <c r="B115" s="104" t="n">
        <v>107</v>
      </c>
      <c r="C115" s="105" t="n">
        <v>679350</v>
      </c>
      <c r="D115" s="138" t="n">
        <v>9146225</v>
      </c>
      <c r="E115" s="111" t="inlineStr">
        <is>
          <t>CH-229D</t>
        </is>
      </c>
      <c r="F115" s="108" t="inlineStr">
        <is>
          <t>IRHS-13-02-06-643</t>
        </is>
      </c>
      <c r="G115" s="109" t="inlineStr">
        <is>
          <t>LA LIBERTAD</t>
        </is>
      </c>
      <c r="H115" s="109" t="inlineStr">
        <is>
          <t>ASCOPE</t>
        </is>
      </c>
      <c r="I115" s="109" t="inlineStr">
        <is>
          <t>RAZURI</t>
        </is>
      </c>
      <c r="J115" s="109" t="inlineStr">
        <is>
          <t>DERECHA</t>
        </is>
      </c>
      <c r="K115" s="109" t="n"/>
      <c r="L115" s="109" t="inlineStr">
        <is>
          <t>HUARMEY-CHICAMA</t>
        </is>
      </c>
      <c r="M115" s="109" t="inlineStr">
        <is>
          <t>CHICAMA</t>
        </is>
      </c>
      <c r="N115" s="109" t="inlineStr">
        <is>
          <t>Unidad Hidrografica 13773</t>
        </is>
      </c>
      <c r="O115" s="109" t="n"/>
      <c r="P115" s="109" t="n">
        <v>17</v>
      </c>
      <c r="Q115" s="109" t="n">
        <v>0</v>
      </c>
      <c r="R115" s="109" t="inlineStr">
        <is>
          <t>RAZA URBINA, SEGUNDO RODOLFO</t>
        </is>
      </c>
      <c r="S115" s="110" t="inlineStr">
        <is>
          <t>TACE</t>
        </is>
      </c>
      <c r="T115" s="111" t="inlineStr">
        <is>
          <t>CONSUMO HUMANO Y AGRICOLA</t>
        </is>
      </c>
      <c r="U115" s="112" t="n">
        <v>45419</v>
      </c>
      <c r="V115" s="111" t="n">
        <v>0.2</v>
      </c>
      <c r="W115" s="111" t="n">
        <v>4.01</v>
      </c>
      <c r="X115" s="111" t="n">
        <v>3.81</v>
      </c>
      <c r="Y115" s="104" t="n">
        <v>0</v>
      </c>
      <c r="Z115" s="448" t="n">
        <v>2290</v>
      </c>
      <c r="AA115" s="449" t="n">
        <v>7.45</v>
      </c>
      <c r="AB115" s="448" t="n">
        <v>1144</v>
      </c>
      <c r="AC115" s="449" t="n">
        <v>25.9</v>
      </c>
      <c r="AD115" s="108" t="inlineStr">
        <is>
          <t>BOMBEANDO</t>
        </is>
      </c>
      <c r="AE115" s="109" t="inlineStr">
        <is>
          <t>VISITADO</t>
        </is>
      </c>
      <c r="AF115" s="110" t="inlineStr">
        <is>
          <t>2024-05-07T12:19:30.169</t>
        </is>
      </c>
      <c r="AG115" s="115" t="n">
        <v>0.947</v>
      </c>
      <c r="AH115" s="449" t="n">
        <v>0.2</v>
      </c>
      <c r="AI115" s="126" t="n">
        <v>10</v>
      </c>
      <c r="AJ115" s="450" t="n">
        <v>1.24</v>
      </c>
      <c r="AK115" s="118" t="n">
        <v>0.034</v>
      </c>
      <c r="AL115" s="119" t="inlineStr">
        <is>
          <t>(1)</t>
        </is>
      </c>
      <c r="AM115" s="161" t="n">
        <v>0.24</v>
      </c>
      <c r="AN115" s="118" t="n">
        <v>0.041</v>
      </c>
      <c r="AO115" s="124">
        <f>5*39</f>
        <v/>
      </c>
      <c r="AP115" s="123" t="n">
        <v>80</v>
      </c>
      <c r="AQ115" s="175" t="n">
        <v>5</v>
      </c>
      <c r="AR115" s="163" t="n">
        <v>0</v>
      </c>
    </row>
    <row r="116" ht="20.25" customHeight="1">
      <c r="B116" s="76" t="n">
        <v>108</v>
      </c>
      <c r="C116" s="77" t="n">
        <v>678454</v>
      </c>
      <c r="D116" s="139" t="n">
        <v>9144595</v>
      </c>
      <c r="E116" s="83" t="inlineStr">
        <is>
          <t>CH-253A</t>
        </is>
      </c>
      <c r="F116" s="80" t="n"/>
      <c r="G116" s="81" t="inlineStr">
        <is>
          <t>LA LIBERTAD</t>
        </is>
      </c>
      <c r="H116" s="81" t="inlineStr">
        <is>
          <t>ASCOPE</t>
        </is>
      </c>
      <c r="I116" s="81" t="inlineStr">
        <is>
          <t>RAZURI</t>
        </is>
      </c>
      <c r="J116" s="81" t="inlineStr">
        <is>
          <t>DERECHA</t>
        </is>
      </c>
      <c r="K116" s="81" t="n"/>
      <c r="L116" s="81" t="inlineStr">
        <is>
          <t>HUARMEY-CHICAMA</t>
        </is>
      </c>
      <c r="M116" s="81" t="inlineStr">
        <is>
          <t>CHICAMA</t>
        </is>
      </c>
      <c r="N116" s="81" t="inlineStr">
        <is>
          <t>Unidad Hidrografica 13773</t>
        </is>
      </c>
      <c r="O116" s="81" t="inlineStr">
        <is>
          <t>1899-12-30</t>
        </is>
      </c>
      <c r="P116" s="81" t="n">
        <v>17</v>
      </c>
      <c r="Q116" s="81" t="n">
        <v>0</v>
      </c>
      <c r="R116" s="81" t="inlineStr">
        <is>
          <t>BAZAN AMAYA, FLOR NELLY</t>
        </is>
      </c>
      <c r="S116" s="82" t="inlineStr">
        <is>
          <t>TACE</t>
        </is>
      </c>
      <c r="T116" s="83" t="inlineStr">
        <is>
          <t>AGRICOLA</t>
        </is>
      </c>
      <c r="U116" s="164" t="n">
        <v>45422</v>
      </c>
      <c r="V116" s="83" t="n">
        <v>0.7</v>
      </c>
      <c r="W116" s="83" t="n">
        <v>2.1</v>
      </c>
      <c r="X116" s="83" t="n">
        <v>1.4</v>
      </c>
      <c r="Y116" s="76" t="n">
        <v>0</v>
      </c>
      <c r="Z116" s="441" t="n">
        <v>1632</v>
      </c>
      <c r="AA116" s="442" t="n">
        <v>7.5</v>
      </c>
      <c r="AB116" s="443" t="n">
        <v>846</v>
      </c>
      <c r="AC116" s="442" t="n">
        <v>23.8</v>
      </c>
      <c r="AD116" s="165" t="n"/>
      <c r="AE116" s="166" t="inlineStr">
        <is>
          <t>VISITADO</t>
        </is>
      </c>
      <c r="AF116" s="167" t="inlineStr">
        <is>
          <t>2024-05-10T09:16:18.885</t>
        </is>
      </c>
      <c r="AG116" s="100" t="n">
        <v>0.621</v>
      </c>
      <c r="AH116" s="442" t="n">
        <v>0.1</v>
      </c>
      <c r="AI116" s="89" t="n">
        <v>8</v>
      </c>
      <c r="AJ116" s="444" t="n">
        <v>2.12</v>
      </c>
      <c r="AK116" s="91" t="n">
        <v>0.024</v>
      </c>
      <c r="AL116" s="92" t="inlineStr">
        <is>
          <t>(1)</t>
        </is>
      </c>
      <c r="AM116" s="445" t="n">
        <v>0.18</v>
      </c>
      <c r="AN116" s="91" t="n">
        <v>0.043</v>
      </c>
      <c r="AO116" s="140">
        <f>5*44</f>
        <v/>
      </c>
      <c r="AP116" s="96" t="inlineStr">
        <is>
          <t>*</t>
        </is>
      </c>
      <c r="AQ116" s="97" t="inlineStr">
        <is>
          <t>*</t>
        </is>
      </c>
      <c r="AR116" s="97" t="inlineStr">
        <is>
          <t>*</t>
        </is>
      </c>
    </row>
    <row r="117" ht="20.25" customHeight="1">
      <c r="B117" s="76" t="n">
        <v>109</v>
      </c>
      <c r="C117" s="77" t="n">
        <v>676808</v>
      </c>
      <c r="D117" s="139" t="n">
        <v>9143373</v>
      </c>
      <c r="E117" s="83" t="inlineStr">
        <is>
          <t>CH-282B</t>
        </is>
      </c>
      <c r="F117" s="80" t="n"/>
      <c r="G117" s="81" t="inlineStr">
        <is>
          <t>LA LIBERTAD</t>
        </is>
      </c>
      <c r="H117" s="81" t="inlineStr">
        <is>
          <t>ASCOPE</t>
        </is>
      </c>
      <c r="I117" s="81" t="inlineStr">
        <is>
          <t>RAZURI</t>
        </is>
      </c>
      <c r="J117" s="81" t="inlineStr">
        <is>
          <t>DERECHA</t>
        </is>
      </c>
      <c r="K117" s="81" t="n"/>
      <c r="L117" s="81" t="inlineStr">
        <is>
          <t>HUARMEY-CHICAMA</t>
        </is>
      </c>
      <c r="M117" s="81" t="inlineStr">
        <is>
          <t>CHICAMA</t>
        </is>
      </c>
      <c r="N117" s="81" t="inlineStr">
        <is>
          <t>Unidad Hidrografica 13773</t>
        </is>
      </c>
      <c r="O117" s="81" t="inlineStr">
        <is>
          <t>1899-12-30</t>
        </is>
      </c>
      <c r="P117" s="81" t="n">
        <v>17</v>
      </c>
      <c r="Q117" s="81" t="n">
        <v>0</v>
      </c>
      <c r="R117" s="81" t="inlineStr">
        <is>
          <t>JAVE SALDAÑA, SEGUNDO BELISARIO</t>
        </is>
      </c>
      <c r="S117" s="82" t="inlineStr">
        <is>
          <t>TASE</t>
        </is>
      </c>
      <c r="T117" s="83" t="inlineStr">
        <is>
          <t>AGRICOLA</t>
        </is>
      </c>
      <c r="U117" s="164" t="n">
        <v>45422</v>
      </c>
      <c r="V117" s="83" t="n">
        <v>0.35</v>
      </c>
      <c r="W117" s="83" t="n">
        <v>1.4</v>
      </c>
      <c r="X117" s="83" t="n">
        <v>1.05</v>
      </c>
      <c r="Y117" s="76" t="n">
        <v>0</v>
      </c>
      <c r="Z117" s="441" t="n">
        <v>1956</v>
      </c>
      <c r="AA117" s="442" t="n">
        <v>7.51</v>
      </c>
      <c r="AB117" s="441" t="n">
        <v>1017</v>
      </c>
      <c r="AC117" s="442" t="n">
        <v>23.9</v>
      </c>
      <c r="AD117" s="165" t="n"/>
      <c r="AE117" s="166" t="inlineStr">
        <is>
          <t>VISITADO</t>
        </is>
      </c>
      <c r="AF117" s="167" t="inlineStr">
        <is>
          <t>2024-05-10T10:16:57.354</t>
        </is>
      </c>
      <c r="AG117" s="457" t="n">
        <v>0.409</v>
      </c>
      <c r="AH117" s="442" t="n">
        <v>0.2</v>
      </c>
      <c r="AI117" s="89" t="n">
        <v>9</v>
      </c>
      <c r="AJ117" s="444" t="n">
        <v>2.17</v>
      </c>
      <c r="AK117" s="91" t="n">
        <v>0.017</v>
      </c>
      <c r="AL117" s="92" t="inlineStr">
        <is>
          <t>(1)</t>
        </is>
      </c>
      <c r="AM117" s="445" t="n">
        <v>0.2</v>
      </c>
      <c r="AN117" s="91" t="n">
        <v>0.029</v>
      </c>
      <c r="AO117" s="140">
        <f>5*42</f>
        <v/>
      </c>
      <c r="AP117" s="96" t="inlineStr">
        <is>
          <t>*</t>
        </is>
      </c>
      <c r="AQ117" s="97" t="inlineStr">
        <is>
          <t>*</t>
        </is>
      </c>
      <c r="AR117" s="97" t="inlineStr">
        <is>
          <t>*</t>
        </is>
      </c>
    </row>
    <row r="118" ht="20.25" customHeight="1">
      <c r="B118" s="76" t="n">
        <v>110</v>
      </c>
      <c r="C118" s="77" t="n">
        <v>676533</v>
      </c>
      <c r="D118" s="139" t="n">
        <v>9144988</v>
      </c>
      <c r="E118" s="83" t="inlineStr">
        <is>
          <t>CH-280A</t>
        </is>
      </c>
      <c r="F118" s="80" t="n"/>
      <c r="G118" s="81" t="inlineStr">
        <is>
          <t>LA LIBERTAD</t>
        </is>
      </c>
      <c r="H118" s="81" t="inlineStr">
        <is>
          <t>ASCOPE</t>
        </is>
      </c>
      <c r="I118" s="81" t="inlineStr">
        <is>
          <t>RAZURI</t>
        </is>
      </c>
      <c r="J118" s="81" t="inlineStr">
        <is>
          <t>DERECHA</t>
        </is>
      </c>
      <c r="K118" s="81" t="n"/>
      <c r="L118" s="81" t="inlineStr">
        <is>
          <t>HUARMEY-CHICAMA</t>
        </is>
      </c>
      <c r="M118" s="81" t="inlineStr">
        <is>
          <t>CHICAMA</t>
        </is>
      </c>
      <c r="N118" s="81" t="inlineStr">
        <is>
          <t>Unidad Hidrografica 13773</t>
        </is>
      </c>
      <c r="O118" s="81" t="inlineStr">
        <is>
          <t>1899-12-30</t>
        </is>
      </c>
      <c r="P118" s="81" t="n">
        <v>17</v>
      </c>
      <c r="Q118" s="81" t="n">
        <v>0</v>
      </c>
      <c r="R118" s="81" t="n"/>
      <c r="S118" s="82" t="inlineStr">
        <is>
          <t>TACE</t>
        </is>
      </c>
      <c r="T118" s="83" t="inlineStr">
        <is>
          <t>AGRICOLA</t>
        </is>
      </c>
      <c r="U118" s="164" t="n">
        <v>45422</v>
      </c>
      <c r="V118" s="83" t="n">
        <v>-0.1</v>
      </c>
      <c r="W118" s="83" t="n">
        <v>1.92</v>
      </c>
      <c r="X118" s="83" t="n">
        <v>2.02</v>
      </c>
      <c r="Y118" s="76" t="n">
        <v>0</v>
      </c>
      <c r="Z118" s="441" t="n">
        <v>1945</v>
      </c>
      <c r="AA118" s="442" t="n">
        <v>7.62</v>
      </c>
      <c r="AB118" s="443" t="n">
        <v>997</v>
      </c>
      <c r="AC118" s="442" t="n">
        <v>24.6</v>
      </c>
      <c r="AD118" s="165" t="n"/>
      <c r="AE118" s="166" t="inlineStr">
        <is>
          <t>VISITADO</t>
        </is>
      </c>
      <c r="AF118" s="167" t="inlineStr">
        <is>
          <t>2024-05-10T10:41:50.971</t>
        </is>
      </c>
      <c r="AG118" s="457" t="n">
        <v>0.408</v>
      </c>
      <c r="AH118" s="442" t="n">
        <v>0.2</v>
      </c>
      <c r="AI118" s="89" t="n">
        <v>4</v>
      </c>
      <c r="AJ118" s="444" t="n">
        <v>1.84</v>
      </c>
      <c r="AK118" s="91" t="n">
        <v>0.03</v>
      </c>
      <c r="AL118" s="92" t="inlineStr">
        <is>
          <t>(1)</t>
        </is>
      </c>
      <c r="AM118" s="445" t="n">
        <v>1.09</v>
      </c>
      <c r="AN118" s="91" t="n">
        <v>0.02</v>
      </c>
      <c r="AO118" s="140">
        <f>5*40</f>
        <v/>
      </c>
      <c r="AP118" s="96" t="inlineStr">
        <is>
          <t>*</t>
        </is>
      </c>
      <c r="AQ118" s="97" t="inlineStr">
        <is>
          <t>*</t>
        </is>
      </c>
      <c r="AR118" s="97" t="inlineStr">
        <is>
          <t>*</t>
        </is>
      </c>
    </row>
    <row r="119" ht="20.25" customHeight="1">
      <c r="B119" s="76" t="n">
        <v>111</v>
      </c>
      <c r="C119" s="77" t="n">
        <v>675185</v>
      </c>
      <c r="D119" s="139" t="n">
        <v>9146059</v>
      </c>
      <c r="E119" s="83" t="inlineStr">
        <is>
          <t>CH-156C</t>
        </is>
      </c>
      <c r="F119" s="80" t="n"/>
      <c r="G119" s="81" t="inlineStr">
        <is>
          <t>LA LIBERTAD</t>
        </is>
      </c>
      <c r="H119" s="81" t="inlineStr">
        <is>
          <t>ASCOPE</t>
        </is>
      </c>
      <c r="I119" s="81" t="inlineStr">
        <is>
          <t>RAZURI</t>
        </is>
      </c>
      <c r="J119" s="81" t="inlineStr">
        <is>
          <t>DERECHA</t>
        </is>
      </c>
      <c r="K119" s="81" t="n"/>
      <c r="L119" s="81" t="inlineStr">
        <is>
          <t>HUARMEY-CHICAMA</t>
        </is>
      </c>
      <c r="M119" s="81" t="inlineStr">
        <is>
          <t>CHICAMA</t>
        </is>
      </c>
      <c r="N119" s="81" t="inlineStr">
        <is>
          <t>Unidad Hidrografica 13773</t>
        </is>
      </c>
      <c r="O119" s="81" t="n"/>
      <c r="P119" s="81" t="n">
        <v>17</v>
      </c>
      <c r="Q119" s="81" t="n">
        <v>0</v>
      </c>
      <c r="R119" s="81" t="n"/>
      <c r="S119" s="82" t="inlineStr">
        <is>
          <t>TASE</t>
        </is>
      </c>
      <c r="T119" s="83" t="inlineStr">
        <is>
          <t>AGRÍCOLA</t>
        </is>
      </c>
      <c r="U119" s="164" t="n">
        <v>45422</v>
      </c>
      <c r="V119" s="83" t="n">
        <v>1.2</v>
      </c>
      <c r="W119" s="83" t="n">
        <v>5.15</v>
      </c>
      <c r="X119" s="83" t="n">
        <v>3.95</v>
      </c>
      <c r="Y119" s="76" t="n">
        <v>0</v>
      </c>
      <c r="Z119" s="441" t="n">
        <v>2480</v>
      </c>
      <c r="AA119" s="442" t="n">
        <v>7.48</v>
      </c>
      <c r="AB119" s="441" t="n">
        <v>1301</v>
      </c>
      <c r="AC119" s="442" t="n">
        <v>23.9</v>
      </c>
      <c r="AD119" s="165" t="n"/>
      <c r="AE119" s="166" t="inlineStr">
        <is>
          <t>VISITADO</t>
        </is>
      </c>
      <c r="AF119" s="167" t="inlineStr">
        <is>
          <t>2024-05-10T11:26:49.687</t>
        </is>
      </c>
      <c r="AG119" s="100" t="n">
        <v>0.679</v>
      </c>
      <c r="AH119" s="442" t="n">
        <v>0.8</v>
      </c>
      <c r="AI119" s="89" t="n">
        <v>2</v>
      </c>
      <c r="AJ119" s="444" t="n">
        <v>2.4</v>
      </c>
      <c r="AK119" s="91" t="n">
        <v>0.023</v>
      </c>
      <c r="AL119" s="92" t="inlineStr">
        <is>
          <t>(1)</t>
        </is>
      </c>
      <c r="AM119" s="445" t="n">
        <v>0.25</v>
      </c>
      <c r="AN119" s="91" t="n">
        <v>0.037</v>
      </c>
      <c r="AO119" s="140">
        <f>5*38</f>
        <v/>
      </c>
      <c r="AP119" s="96" t="inlineStr">
        <is>
          <t>*</t>
        </is>
      </c>
      <c r="AQ119" s="97" t="inlineStr">
        <is>
          <t>*</t>
        </is>
      </c>
      <c r="AR119" s="97" t="inlineStr">
        <is>
          <t>*</t>
        </is>
      </c>
    </row>
    <row r="120" ht="20.25" customFormat="1" customHeight="1" s="54">
      <c r="B120" s="104" t="n">
        <v>112</v>
      </c>
      <c r="C120" s="105" t="n">
        <v>676502</v>
      </c>
      <c r="D120" s="138" t="n">
        <v>9146709</v>
      </c>
      <c r="E120" s="111" t="inlineStr">
        <is>
          <t>CH-156D</t>
        </is>
      </c>
      <c r="F120" s="108" t="n"/>
      <c r="G120" s="109" t="inlineStr">
        <is>
          <t>LA LIBERTAD</t>
        </is>
      </c>
      <c r="H120" s="109" t="inlineStr">
        <is>
          <t>ASCOPE</t>
        </is>
      </c>
      <c r="I120" s="109" t="inlineStr">
        <is>
          <t>RAZURI</t>
        </is>
      </c>
      <c r="J120" s="109" t="inlineStr">
        <is>
          <t>DERECHA</t>
        </is>
      </c>
      <c r="K120" s="109" t="n"/>
      <c r="L120" s="109" t="inlineStr">
        <is>
          <t>HUARMEY-CHICAMA</t>
        </is>
      </c>
      <c r="M120" s="109" t="inlineStr">
        <is>
          <t>CHICAMA</t>
        </is>
      </c>
      <c r="N120" s="109" t="inlineStr">
        <is>
          <t>Unidad Hidrografica 13773</t>
        </is>
      </c>
      <c r="O120" s="109" t="inlineStr">
        <is>
          <t>1899-12-30</t>
        </is>
      </c>
      <c r="P120" s="109" t="n">
        <v>17</v>
      </c>
      <c r="Q120" s="109" t="n">
        <v>0</v>
      </c>
      <c r="R120" s="109" t="n"/>
      <c r="S120" s="110" t="inlineStr">
        <is>
          <t>TASE</t>
        </is>
      </c>
      <c r="T120" s="111" t="inlineStr">
        <is>
          <t>CONSUMO HUMANO</t>
        </is>
      </c>
      <c r="U120" s="112" t="n">
        <v>45422</v>
      </c>
      <c r="V120" s="111" t="n">
        <v>0.2</v>
      </c>
      <c r="W120" s="111" t="n">
        <v>5.87</v>
      </c>
      <c r="X120" s="111" t="n">
        <v>5.67</v>
      </c>
      <c r="Y120" s="104" t="n">
        <v>0</v>
      </c>
      <c r="Z120" s="448" t="n">
        <v>3030</v>
      </c>
      <c r="AA120" s="449" t="n">
        <v>8.49</v>
      </c>
      <c r="AB120" s="448" t="n">
        <v>1596</v>
      </c>
      <c r="AC120" s="449" t="n">
        <v>24.1</v>
      </c>
      <c r="AD120" s="108" t="n"/>
      <c r="AE120" s="109" t="inlineStr">
        <is>
          <t>VISITADO</t>
        </is>
      </c>
      <c r="AF120" s="110" t="inlineStr">
        <is>
          <t>2024-05-10T11:39:12.493</t>
        </is>
      </c>
      <c r="AG120" s="115" t="n">
        <v>0.675</v>
      </c>
      <c r="AH120" s="449" t="n">
        <v>0.4</v>
      </c>
      <c r="AI120" s="126" t="n">
        <v>4</v>
      </c>
      <c r="AJ120" s="450" t="n">
        <v>0.19</v>
      </c>
      <c r="AK120" s="118" t="n">
        <v>0.022</v>
      </c>
      <c r="AL120" s="119" t="inlineStr">
        <is>
          <t>(1)</t>
        </is>
      </c>
      <c r="AM120" s="451" t="n">
        <v>0.32</v>
      </c>
      <c r="AN120" s="118" t="n">
        <v>0.043</v>
      </c>
      <c r="AO120" s="124">
        <f>5*40</f>
        <v/>
      </c>
      <c r="AP120" s="123" t="n">
        <v>250</v>
      </c>
      <c r="AQ120" s="163" t="n">
        <v>0</v>
      </c>
      <c r="AR120" s="163" t="n">
        <v>0</v>
      </c>
    </row>
    <row r="121" ht="20.25" customHeight="1">
      <c r="B121" s="76" t="n">
        <v>113</v>
      </c>
      <c r="C121" s="77" t="n">
        <v>672863</v>
      </c>
      <c r="D121" s="139" t="n">
        <v>9147110</v>
      </c>
      <c r="E121" s="83" t="inlineStr">
        <is>
          <t>CH-296A</t>
        </is>
      </c>
      <c r="F121" s="80" t="n"/>
      <c r="G121" s="81" t="inlineStr">
        <is>
          <t>LA LIBERTAD</t>
        </is>
      </c>
      <c r="H121" s="81" t="inlineStr">
        <is>
          <t>ASCOPE</t>
        </is>
      </c>
      <c r="I121" s="81" t="inlineStr">
        <is>
          <t>RAZURI</t>
        </is>
      </c>
      <c r="J121" s="81" t="inlineStr">
        <is>
          <t>DERECHA</t>
        </is>
      </c>
      <c r="K121" s="81" t="n"/>
      <c r="L121" s="81" t="inlineStr">
        <is>
          <t>HUARMEY-CHICAMA</t>
        </is>
      </c>
      <c r="M121" s="81" t="inlineStr">
        <is>
          <t>CHICAMA</t>
        </is>
      </c>
      <c r="N121" s="81" t="inlineStr">
        <is>
          <t>Unidad Hidrografica 13773</t>
        </is>
      </c>
      <c r="O121" s="81" t="n"/>
      <c r="P121" s="81" t="n">
        <v>17</v>
      </c>
      <c r="Q121" s="81" t="n">
        <v>0</v>
      </c>
      <c r="R121" s="81" t="n"/>
      <c r="S121" s="82" t="inlineStr">
        <is>
          <t>TASE</t>
        </is>
      </c>
      <c r="T121" s="83" t="inlineStr">
        <is>
          <t>NE</t>
        </is>
      </c>
      <c r="U121" s="164" t="n">
        <v>45422</v>
      </c>
      <c r="V121" s="83" t="n">
        <v>0.4</v>
      </c>
      <c r="W121" s="83" t="n">
        <v>2.36</v>
      </c>
      <c r="X121" s="83" t="n">
        <v>1.96</v>
      </c>
      <c r="Y121" s="76" t="n">
        <v>0</v>
      </c>
      <c r="Z121" s="441" t="n">
        <v>53300</v>
      </c>
      <c r="AA121" s="442" t="n">
        <v>7.38</v>
      </c>
      <c r="AB121" s="441" t="n">
        <v>34700</v>
      </c>
      <c r="AC121" s="442" t="n">
        <v>23.7</v>
      </c>
      <c r="AD121" s="165" t="inlineStr">
        <is>
          <t>NUEVO</t>
        </is>
      </c>
      <c r="AE121" s="166" t="inlineStr">
        <is>
          <t>VISITADO</t>
        </is>
      </c>
      <c r="AF121" s="167" t="inlineStr">
        <is>
          <t>2024-05-10T12:03:14.555</t>
        </is>
      </c>
      <c r="AG121" s="100" t="n">
        <v>1.13</v>
      </c>
      <c r="AH121" s="442" t="n">
        <v>3.1</v>
      </c>
      <c r="AI121" s="98" t="n">
        <v>16</v>
      </c>
      <c r="AJ121" s="444" t="n">
        <v>1.72</v>
      </c>
      <c r="AK121" s="91" t="n">
        <v>0.02</v>
      </c>
      <c r="AL121" s="92" t="inlineStr">
        <is>
          <t>(1)</t>
        </is>
      </c>
      <c r="AM121" s="445" t="n">
        <v>0.38</v>
      </c>
      <c r="AN121" s="91" t="n">
        <v>0.043</v>
      </c>
      <c r="AO121" s="140">
        <f>5*44</f>
        <v/>
      </c>
      <c r="AP121" s="96" t="inlineStr">
        <is>
          <t>*</t>
        </is>
      </c>
      <c r="AQ121" s="97" t="inlineStr">
        <is>
          <t>*</t>
        </is>
      </c>
      <c r="AR121" s="97" t="inlineStr">
        <is>
          <t>*</t>
        </is>
      </c>
    </row>
    <row r="122" ht="20.25" customHeight="1">
      <c r="B122" s="76" t="n">
        <v>114</v>
      </c>
      <c r="C122" s="77" t="n">
        <v>675628</v>
      </c>
      <c r="D122" s="139" t="n">
        <v>9147696</v>
      </c>
      <c r="E122" s="83" t="inlineStr">
        <is>
          <t>CH-255B</t>
        </is>
      </c>
      <c r="F122" s="80" t="n"/>
      <c r="G122" s="81" t="inlineStr">
        <is>
          <t>LA LIBERTAD</t>
        </is>
      </c>
      <c r="H122" s="81" t="inlineStr">
        <is>
          <t>ASCOPE</t>
        </is>
      </c>
      <c r="I122" s="81" t="inlineStr">
        <is>
          <t>RAZURI</t>
        </is>
      </c>
      <c r="J122" s="81" t="inlineStr">
        <is>
          <t>DERECHA</t>
        </is>
      </c>
      <c r="K122" s="81" t="n"/>
      <c r="L122" s="81" t="inlineStr">
        <is>
          <t>HUARMEY-CHICAMA</t>
        </is>
      </c>
      <c r="M122" s="81" t="inlineStr">
        <is>
          <t>CHICAMA</t>
        </is>
      </c>
      <c r="N122" s="81" t="inlineStr">
        <is>
          <t>Unidad Hidrografica 13773</t>
        </is>
      </c>
      <c r="O122" s="81" t="n"/>
      <c r="P122" s="81" t="n">
        <v>17</v>
      </c>
      <c r="Q122" s="81" t="n">
        <v>0</v>
      </c>
      <c r="R122" s="81" t="inlineStr">
        <is>
          <t>LARREA PALACIOS, CARLOS HUGO</t>
        </is>
      </c>
      <c r="S122" s="82" t="inlineStr">
        <is>
          <t>TASE</t>
        </is>
      </c>
      <c r="T122" s="83" t="inlineStr">
        <is>
          <t>AGRICOLA</t>
        </is>
      </c>
      <c r="U122" s="164" t="n">
        <v>45422</v>
      </c>
      <c r="V122" s="83" t="n">
        <v>0.35</v>
      </c>
      <c r="W122" s="83" t="n">
        <v>2.84</v>
      </c>
      <c r="X122" s="83" t="n">
        <v>2.49</v>
      </c>
      <c r="Y122" s="76" t="n">
        <v>0</v>
      </c>
      <c r="Z122" s="441" t="n">
        <v>2470</v>
      </c>
      <c r="AA122" s="442" t="n">
        <v>8.16</v>
      </c>
      <c r="AB122" s="441" t="n">
        <v>1257</v>
      </c>
      <c r="AC122" s="442" t="n">
        <v>25.3</v>
      </c>
      <c r="AD122" s="165" t="n"/>
      <c r="AE122" s="166" t="inlineStr">
        <is>
          <t>VISITADO</t>
        </is>
      </c>
      <c r="AF122" s="167" t="inlineStr">
        <is>
          <t>2024-05-10T12:19:40.644</t>
        </is>
      </c>
      <c r="AG122" s="100" t="n">
        <v>0.734</v>
      </c>
      <c r="AH122" s="442" t="n">
        <v>1.5</v>
      </c>
      <c r="AI122" s="89" t="n">
        <v>9</v>
      </c>
      <c r="AJ122" s="444" t="n">
        <v>0.28</v>
      </c>
      <c r="AK122" s="91" t="n">
        <v>0.022</v>
      </c>
      <c r="AL122" s="92" t="inlineStr">
        <is>
          <t>(1)</t>
        </is>
      </c>
      <c r="AM122" s="445" t="n">
        <v>0.22</v>
      </c>
      <c r="AN122" s="91" t="n">
        <v>0.011</v>
      </c>
      <c r="AO122" s="140">
        <f>5*40</f>
        <v/>
      </c>
      <c r="AP122" s="96" t="inlineStr">
        <is>
          <t>*</t>
        </is>
      </c>
      <c r="AQ122" s="97" t="inlineStr">
        <is>
          <t>*</t>
        </is>
      </c>
      <c r="AR122" s="97" t="inlineStr">
        <is>
          <t>*</t>
        </is>
      </c>
    </row>
    <row r="123" ht="20.25" customHeight="1">
      <c r="B123" s="76" t="n">
        <v>115</v>
      </c>
      <c r="C123" s="77" t="n">
        <v>678335.7943</v>
      </c>
      <c r="D123" s="139" t="n">
        <v>9148772.664000001</v>
      </c>
      <c r="E123" s="83" t="inlineStr">
        <is>
          <t>CH-191A-2</t>
        </is>
      </c>
      <c r="F123" s="80" t="n"/>
      <c r="G123" s="81" t="inlineStr">
        <is>
          <t>LA LIBERTAD</t>
        </is>
      </c>
      <c r="H123" s="81" t="inlineStr">
        <is>
          <t>ASCOPE</t>
        </is>
      </c>
      <c r="I123" s="81" t="inlineStr">
        <is>
          <t>RAZURI</t>
        </is>
      </c>
      <c r="J123" s="81" t="inlineStr">
        <is>
          <t>DERECHA</t>
        </is>
      </c>
      <c r="K123" s="81" t="n"/>
      <c r="L123" s="81" t="inlineStr">
        <is>
          <t>HUARMEY-CHICAMA</t>
        </is>
      </c>
      <c r="M123" s="81" t="inlineStr">
        <is>
          <t>CHICAMA</t>
        </is>
      </c>
      <c r="N123" s="81" t="inlineStr">
        <is>
          <t>Unidad Hidrografica 13773</t>
        </is>
      </c>
      <c r="O123" s="81" t="n"/>
      <c r="P123" s="81" t="n">
        <v>17</v>
      </c>
      <c r="Q123" s="81" t="n">
        <v>0</v>
      </c>
      <c r="R123" s="81" t="inlineStr">
        <is>
          <t>SUCESION DE GUEVARA PEÑA, SALUSTIO</t>
        </is>
      </c>
      <c r="S123" s="82" t="inlineStr">
        <is>
          <t>TACE</t>
        </is>
      </c>
      <c r="T123" s="83" t="inlineStr">
        <is>
          <t>AGRÍCOLA</t>
        </is>
      </c>
      <c r="U123" s="164" t="n">
        <v>45422</v>
      </c>
      <c r="V123" s="83" t="n">
        <v>0.6</v>
      </c>
      <c r="W123" s="83" t="n">
        <v>3.57</v>
      </c>
      <c r="X123" s="83" t="n">
        <v>2.97</v>
      </c>
      <c r="Y123" s="76" t="n">
        <v>0</v>
      </c>
      <c r="Z123" s="441" t="n">
        <v>2730</v>
      </c>
      <c r="AA123" s="442" t="n">
        <v>7.52</v>
      </c>
      <c r="AB123" s="441" t="n">
        <v>1394</v>
      </c>
      <c r="AC123" s="442" t="n">
        <v>25</v>
      </c>
      <c r="AD123" s="165" t="n"/>
      <c r="AE123" s="166" t="inlineStr">
        <is>
          <t>VISITADO</t>
        </is>
      </c>
      <c r="AF123" s="167" t="inlineStr">
        <is>
          <t>2024-05-10T13:15:25.732</t>
        </is>
      </c>
      <c r="AG123" s="100" t="n">
        <v>0.674</v>
      </c>
      <c r="AH123" s="442" t="n">
        <v>4.5</v>
      </c>
      <c r="AI123" s="89" t="n">
        <v>5</v>
      </c>
      <c r="AJ123" s="444" t="n">
        <v>1.49</v>
      </c>
      <c r="AK123" s="91" t="n">
        <v>0.026</v>
      </c>
      <c r="AL123" s="92" t="inlineStr">
        <is>
          <t>(1)</t>
        </is>
      </c>
      <c r="AM123" s="445" t="n">
        <v>0.29</v>
      </c>
      <c r="AN123" s="91" t="n">
        <v>0.023</v>
      </c>
      <c r="AO123" s="140">
        <f>5*38</f>
        <v/>
      </c>
      <c r="AP123" s="96" t="inlineStr">
        <is>
          <t>*</t>
        </is>
      </c>
      <c r="AQ123" s="97" t="inlineStr">
        <is>
          <t>*</t>
        </is>
      </c>
      <c r="AR123" s="97" t="inlineStr">
        <is>
          <t>*</t>
        </is>
      </c>
    </row>
    <row r="124" ht="20.25" customFormat="1" customHeight="1" s="54">
      <c r="B124" s="104" t="n">
        <v>116</v>
      </c>
      <c r="C124" s="105" t="n">
        <v>677974</v>
      </c>
      <c r="D124" s="138" t="n">
        <v>9149723</v>
      </c>
      <c r="E124" s="111" t="inlineStr">
        <is>
          <t>CH-268A</t>
        </is>
      </c>
      <c r="F124" s="108" t="inlineStr">
        <is>
          <t>IRHS-13-02-06-396</t>
        </is>
      </c>
      <c r="G124" s="109" t="inlineStr">
        <is>
          <t>LA LIBERTAD</t>
        </is>
      </c>
      <c r="H124" s="109" t="inlineStr">
        <is>
          <t>ASCOPE</t>
        </is>
      </c>
      <c r="I124" s="109" t="inlineStr">
        <is>
          <t>RAZURI</t>
        </is>
      </c>
      <c r="J124" s="109" t="inlineStr">
        <is>
          <t>DERECHA</t>
        </is>
      </c>
      <c r="K124" s="109" t="n"/>
      <c r="L124" s="109" t="inlineStr">
        <is>
          <t>HUARMEY-CHICAMA</t>
        </is>
      </c>
      <c r="M124" s="109" t="inlineStr">
        <is>
          <t>CHICAMA</t>
        </is>
      </c>
      <c r="N124" s="109" t="inlineStr">
        <is>
          <t>Unidad Hidrografica 13773</t>
        </is>
      </c>
      <c r="O124" s="109" t="n"/>
      <c r="P124" s="109" t="n">
        <v>17</v>
      </c>
      <c r="Q124" s="109" t="n">
        <v>0</v>
      </c>
      <c r="R124" s="109" t="inlineStr">
        <is>
          <t>ASOCIACION DE PRODUCTORES AGRARIOS Y EXPORTADORES, EL PALOMAR</t>
        </is>
      </c>
      <c r="S124" s="110" t="inlineStr">
        <is>
          <t>TACE</t>
        </is>
      </c>
      <c r="T124" s="111" t="inlineStr">
        <is>
          <t>CONSUMO HUMANO</t>
        </is>
      </c>
      <c r="U124" s="112" t="n">
        <v>45422</v>
      </c>
      <c r="V124" s="111" t="n">
        <v>0.65</v>
      </c>
      <c r="W124" s="111" t="n">
        <v>4.73</v>
      </c>
      <c r="X124" s="111" t="n">
        <v>4.08</v>
      </c>
      <c r="Y124" s="104" t="n">
        <v>0</v>
      </c>
      <c r="Z124" s="448" t="n">
        <v>3160</v>
      </c>
      <c r="AA124" s="449" t="n">
        <v>7.7</v>
      </c>
      <c r="AB124" s="448" t="n">
        <v>1631</v>
      </c>
      <c r="AC124" s="449" t="n">
        <v>25.2</v>
      </c>
      <c r="AD124" s="108" t="n"/>
      <c r="AE124" s="109" t="inlineStr">
        <is>
          <t>VISITADO</t>
        </is>
      </c>
      <c r="AF124" s="110" t="inlineStr">
        <is>
          <t>2024-05-10T13:25:28.527</t>
        </is>
      </c>
      <c r="AG124" s="115" t="n">
        <v>1.07</v>
      </c>
      <c r="AH124" s="449" t="n">
        <v>2.6</v>
      </c>
      <c r="AI124" s="126" t="n">
        <v>7</v>
      </c>
      <c r="AJ124" s="450" t="n">
        <v>0.22</v>
      </c>
      <c r="AK124" s="118" t="n">
        <v>0.019</v>
      </c>
      <c r="AL124" s="119" t="inlineStr">
        <is>
          <t>(1)</t>
        </is>
      </c>
      <c r="AM124" s="451" t="n">
        <v>0.19</v>
      </c>
      <c r="AN124" s="118" t="n">
        <v>0.109</v>
      </c>
      <c r="AO124" s="124">
        <f>5*42</f>
        <v/>
      </c>
      <c r="AP124" s="123" t="n">
        <v>100</v>
      </c>
      <c r="AQ124" s="175" t="n">
        <v>50</v>
      </c>
      <c r="AR124" s="163" t="n">
        <v>0</v>
      </c>
    </row>
    <row r="125" ht="20.25" customHeight="1">
      <c r="B125" s="76" t="n">
        <v>117</v>
      </c>
      <c r="C125" s="77" t="n">
        <v>679817</v>
      </c>
      <c r="D125" s="139" t="n">
        <v>9149962</v>
      </c>
      <c r="E125" s="83" t="inlineStr">
        <is>
          <t>CH-299A</t>
        </is>
      </c>
      <c r="F125" s="80" t="inlineStr">
        <is>
          <t>IRHS-13-02-06-126</t>
        </is>
      </c>
      <c r="G125" s="81" t="inlineStr">
        <is>
          <t>LA LIBERTAD</t>
        </is>
      </c>
      <c r="H125" s="81" t="inlineStr">
        <is>
          <t>ASCOPE</t>
        </is>
      </c>
      <c r="I125" s="81" t="inlineStr">
        <is>
          <t>RAZURI</t>
        </is>
      </c>
      <c r="J125" s="81" t="inlineStr">
        <is>
          <t>DERECHA</t>
        </is>
      </c>
      <c r="K125" s="81" t="n"/>
      <c r="L125" s="81" t="inlineStr">
        <is>
          <t>HUARMEY-CHICAMA</t>
        </is>
      </c>
      <c r="M125" s="81" t="inlineStr">
        <is>
          <t>CHICAMA</t>
        </is>
      </c>
      <c r="N125" s="81" t="inlineStr">
        <is>
          <t>Unidad Hidrografica 13773</t>
        </is>
      </c>
      <c r="O125" s="81" t="n">
        <v>41878</v>
      </c>
      <c r="P125" s="81" t="n">
        <v>17</v>
      </c>
      <c r="Q125" s="81" t="n">
        <v>0</v>
      </c>
      <c r="R125" s="81" t="inlineStr">
        <is>
          <t>BENITO CRUZ ARAUJO</t>
        </is>
      </c>
      <c r="S125" s="82" t="inlineStr">
        <is>
          <t>TACE</t>
        </is>
      </c>
      <c r="T125" s="83" t="inlineStr">
        <is>
          <t>AGRICOLA</t>
        </is>
      </c>
      <c r="U125" s="164" t="n">
        <v>45422</v>
      </c>
      <c r="V125" s="83" t="n">
        <v>-0.85</v>
      </c>
      <c r="W125" s="83" t="n">
        <v>1.61</v>
      </c>
      <c r="X125" s="83" t="n">
        <v>2.46</v>
      </c>
      <c r="Y125" s="76" t="n">
        <v>0</v>
      </c>
      <c r="Z125" s="441" t="n">
        <v>1502</v>
      </c>
      <c r="AA125" s="442" t="n">
        <v>7.38</v>
      </c>
      <c r="AB125" s="443" t="n">
        <v>751</v>
      </c>
      <c r="AC125" s="442" t="n">
        <v>25.4</v>
      </c>
      <c r="AD125" s="165" t="n"/>
      <c r="AE125" s="166" t="inlineStr">
        <is>
          <t>VISITADO</t>
        </is>
      </c>
      <c r="AF125" s="167" t="inlineStr">
        <is>
          <t>2024-05-10T13:39:46.521</t>
        </is>
      </c>
      <c r="AG125" s="100" t="n">
        <v>0.6820000000000001</v>
      </c>
      <c r="AH125" s="442" t="n">
        <v>2.7</v>
      </c>
      <c r="AI125" s="89" t="n">
        <v>5</v>
      </c>
      <c r="AJ125" s="444" t="n">
        <v>1.29</v>
      </c>
      <c r="AK125" s="91" t="n">
        <v>0.027</v>
      </c>
      <c r="AL125" s="92" t="inlineStr">
        <is>
          <t>(1)</t>
        </is>
      </c>
      <c r="AM125" s="445" t="n">
        <v>0.29</v>
      </c>
      <c r="AN125" s="91" t="n">
        <v>0.044</v>
      </c>
      <c r="AO125" s="140">
        <f>5*39</f>
        <v/>
      </c>
      <c r="AP125" s="96" t="inlineStr">
        <is>
          <t>*</t>
        </is>
      </c>
      <c r="AQ125" s="97" t="inlineStr">
        <is>
          <t>*</t>
        </is>
      </c>
      <c r="AR125" s="97" t="inlineStr">
        <is>
          <t>*</t>
        </is>
      </c>
    </row>
    <row r="126" ht="20.25" customFormat="1" customHeight="1" s="54">
      <c r="B126" s="104" t="n">
        <v>118</v>
      </c>
      <c r="C126" s="105" t="n">
        <v>679166</v>
      </c>
      <c r="D126" s="138" t="n">
        <v>9147437</v>
      </c>
      <c r="E126" s="111" t="inlineStr">
        <is>
          <t>CH-205B</t>
        </is>
      </c>
      <c r="F126" s="108" t="n"/>
      <c r="G126" s="109" t="inlineStr">
        <is>
          <t>LA LIBERTAD</t>
        </is>
      </c>
      <c r="H126" s="109" t="inlineStr">
        <is>
          <t>ASCOPE</t>
        </is>
      </c>
      <c r="I126" s="109" t="inlineStr">
        <is>
          <t>RAZURI</t>
        </is>
      </c>
      <c r="J126" s="109" t="inlineStr">
        <is>
          <t>DERECHA</t>
        </is>
      </c>
      <c r="K126" s="109" t="n"/>
      <c r="L126" s="109" t="inlineStr">
        <is>
          <t>HUARMEY-CHICAMA</t>
        </is>
      </c>
      <c r="M126" s="109" t="inlineStr">
        <is>
          <t>CHICAMA</t>
        </is>
      </c>
      <c r="N126" s="109" t="inlineStr">
        <is>
          <t>Unidad Hidrografica 13773</t>
        </is>
      </c>
      <c r="O126" s="109" t="n"/>
      <c r="P126" s="109" t="n">
        <v>17</v>
      </c>
      <c r="Q126" s="109" t="n">
        <v>0</v>
      </c>
      <c r="R126" s="109" t="inlineStr">
        <is>
          <t>SAENZ QUIROZ, ALFREDO JHONY</t>
        </is>
      </c>
      <c r="S126" s="110" t="inlineStr">
        <is>
          <t>TACE</t>
        </is>
      </c>
      <c r="T126" s="111" t="inlineStr">
        <is>
          <t>HUMANO-AGRICOLA</t>
        </is>
      </c>
      <c r="U126" s="112" t="n">
        <v>45419</v>
      </c>
      <c r="V126" s="111" t="n">
        <v>0.6</v>
      </c>
      <c r="W126" s="111" t="n">
        <v>3.41</v>
      </c>
      <c r="X126" s="111" t="n">
        <v>2.81</v>
      </c>
      <c r="Y126" s="104" t="n">
        <v>0</v>
      </c>
      <c r="Z126" s="448" t="n">
        <v>1534</v>
      </c>
      <c r="AA126" s="449" t="n">
        <v>7.72</v>
      </c>
      <c r="AB126" s="453" t="n">
        <v>766</v>
      </c>
      <c r="AC126" s="449" t="n">
        <v>24.6</v>
      </c>
      <c r="AD126" s="108" t="n"/>
      <c r="AE126" s="109" t="inlineStr">
        <is>
          <t>VISITADO</t>
        </is>
      </c>
      <c r="AF126" s="110" t="inlineStr">
        <is>
          <t>2024-05-07T11:47:12.539</t>
        </is>
      </c>
      <c r="AG126" s="115" t="n">
        <v>0.545</v>
      </c>
      <c r="AH126" s="449" t="n">
        <v>3.2</v>
      </c>
      <c r="AI126" s="126" t="n">
        <v>5</v>
      </c>
      <c r="AJ126" s="450" t="n">
        <v>1.57</v>
      </c>
      <c r="AK126" s="118" t="n">
        <v>0.021</v>
      </c>
      <c r="AL126" s="119" t="inlineStr">
        <is>
          <t>(1)</t>
        </is>
      </c>
      <c r="AM126" s="451" t="n">
        <v>0.22</v>
      </c>
      <c r="AN126" s="118" t="n">
        <v>0.043</v>
      </c>
      <c r="AO126" s="124">
        <f>5*40</f>
        <v/>
      </c>
      <c r="AP126" s="123" t="n">
        <v>120</v>
      </c>
      <c r="AQ126" s="175" t="n">
        <v>20</v>
      </c>
      <c r="AR126" s="163" t="n">
        <v>0</v>
      </c>
    </row>
    <row r="127" ht="20.25" customHeight="1">
      <c r="B127" s="76" t="n">
        <v>119</v>
      </c>
      <c r="C127" s="77" t="n">
        <v>680235</v>
      </c>
      <c r="D127" s="139" t="n">
        <v>9148318</v>
      </c>
      <c r="E127" s="83" t="inlineStr">
        <is>
          <t>CH-55B</t>
        </is>
      </c>
      <c r="F127" s="80" t="inlineStr">
        <is>
          <t>IRHS-13-02-06-303</t>
        </is>
      </c>
      <c r="G127" s="81" t="inlineStr">
        <is>
          <t>LA LIBERTAD</t>
        </is>
      </c>
      <c r="H127" s="81" t="inlineStr">
        <is>
          <t>ASCOPE</t>
        </is>
      </c>
      <c r="I127" s="81" t="inlineStr">
        <is>
          <t>RAZURI</t>
        </is>
      </c>
      <c r="J127" s="81" t="inlineStr">
        <is>
          <t>DERECHA</t>
        </is>
      </c>
      <c r="K127" s="81" t="n"/>
      <c r="L127" s="81" t="inlineStr">
        <is>
          <t>HUARMEY-CHICAMA</t>
        </is>
      </c>
      <c r="M127" s="81" t="inlineStr">
        <is>
          <t>CHICAMA</t>
        </is>
      </c>
      <c r="N127" s="81" t="inlineStr">
        <is>
          <t>Unidad Hidrografica 13773</t>
        </is>
      </c>
      <c r="O127" s="81" t="n">
        <v>41884</v>
      </c>
      <c r="P127" s="81" t="n">
        <v>17</v>
      </c>
      <c r="Q127" s="81" t="n">
        <v>0</v>
      </c>
      <c r="R127" s="81" t="inlineStr">
        <is>
          <t>NARRO COTRINA, JUAN NELSON</t>
        </is>
      </c>
      <c r="S127" s="82" t="inlineStr">
        <is>
          <t>TACE</t>
        </is>
      </c>
      <c r="T127" s="83" t="inlineStr">
        <is>
          <t>AGRICOLA</t>
        </is>
      </c>
      <c r="U127" s="164" t="n">
        <v>45419</v>
      </c>
      <c r="V127" s="83" t="n">
        <v>-0.3</v>
      </c>
      <c r="W127" s="83" t="n">
        <v>3.23</v>
      </c>
      <c r="X127" s="83" t="n">
        <v>3.53</v>
      </c>
      <c r="Y127" s="76" t="n">
        <v>0</v>
      </c>
      <c r="Z127" s="443" t="n">
        <v>1448</v>
      </c>
      <c r="AA127" s="442" t="n">
        <v>7.51</v>
      </c>
      <c r="AB127" s="443" t="n">
        <v>736</v>
      </c>
      <c r="AC127" s="442" t="n">
        <v>24.3</v>
      </c>
      <c r="AD127" s="165" t="n"/>
      <c r="AE127" s="166" t="inlineStr">
        <is>
          <t>VISITADO</t>
        </is>
      </c>
      <c r="AF127" s="167" t="inlineStr">
        <is>
          <t>2024-05-07T11:53:36.080</t>
        </is>
      </c>
      <c r="AG127" s="100" t="n">
        <v>1.45</v>
      </c>
      <c r="AH127" s="442" t="n">
        <v>3</v>
      </c>
      <c r="AI127" s="89" t="n">
        <v>5</v>
      </c>
      <c r="AJ127" s="444" t="n">
        <v>2.33</v>
      </c>
      <c r="AK127" s="91" t="n">
        <v>0.015</v>
      </c>
      <c r="AL127" s="92" t="inlineStr">
        <is>
          <t>(1)</t>
        </is>
      </c>
      <c r="AM127" s="445" t="n">
        <v>0.2</v>
      </c>
      <c r="AN127" s="91" t="n">
        <v>0.05</v>
      </c>
      <c r="AO127" s="140">
        <f>5*36</f>
        <v/>
      </c>
      <c r="AP127" s="96" t="inlineStr">
        <is>
          <t>*</t>
        </is>
      </c>
      <c r="AQ127" s="97" t="inlineStr">
        <is>
          <t>*</t>
        </is>
      </c>
      <c r="AR127" s="97" t="inlineStr">
        <is>
          <t>*</t>
        </is>
      </c>
    </row>
    <row r="128" ht="20.25" customFormat="1" customHeight="1" s="54">
      <c r="B128" s="104" t="n">
        <v>120</v>
      </c>
      <c r="C128" s="105" t="n">
        <v>681927</v>
      </c>
      <c r="D128" s="138" t="n">
        <v>9149796</v>
      </c>
      <c r="E128" s="111" t="inlineStr">
        <is>
          <t>CH-269A</t>
        </is>
      </c>
      <c r="F128" s="108" t="inlineStr">
        <is>
          <t>IRHS-13-02-06-161</t>
        </is>
      </c>
      <c r="G128" s="109" t="inlineStr">
        <is>
          <t>LA LIBERTAD</t>
        </is>
      </c>
      <c r="H128" s="109" t="inlineStr">
        <is>
          <t>ASCOPE</t>
        </is>
      </c>
      <c r="I128" s="109" t="inlineStr">
        <is>
          <t>RAZURI</t>
        </is>
      </c>
      <c r="J128" s="109" t="inlineStr">
        <is>
          <t>DERECHA</t>
        </is>
      </c>
      <c r="K128" s="109" t="n"/>
      <c r="L128" s="109" t="inlineStr">
        <is>
          <t>HUARMEY-CHICAMA</t>
        </is>
      </c>
      <c r="M128" s="109" t="inlineStr">
        <is>
          <t>CHICAMA</t>
        </is>
      </c>
      <c r="N128" s="109" t="inlineStr">
        <is>
          <t>Unidad Hidrografica 13773</t>
        </is>
      </c>
      <c r="O128" s="109" t="n">
        <v>41869</v>
      </c>
      <c r="P128" s="109" t="n">
        <v>17</v>
      </c>
      <c r="Q128" s="109" t="n">
        <v>0</v>
      </c>
      <c r="R128" s="109" t="inlineStr">
        <is>
          <t>LUIS VIGO LOAYZA</t>
        </is>
      </c>
      <c r="S128" s="110" t="inlineStr">
        <is>
          <t>TASE</t>
        </is>
      </c>
      <c r="T128" s="111" t="inlineStr">
        <is>
          <t>HUMANO-AGRICOLA</t>
        </is>
      </c>
      <c r="U128" s="112" t="n">
        <v>45419</v>
      </c>
      <c r="V128" s="111" t="n">
        <v>0.25</v>
      </c>
      <c r="W128" s="111" t="n">
        <v>2.22</v>
      </c>
      <c r="X128" s="111" t="n">
        <v>1.97</v>
      </c>
      <c r="Y128" s="104" t="n">
        <v>0</v>
      </c>
      <c r="Z128" s="453" t="n">
        <v>1308</v>
      </c>
      <c r="AA128" s="449" t="n">
        <v>7.42</v>
      </c>
      <c r="AB128" s="453" t="n">
        <v>674</v>
      </c>
      <c r="AC128" s="449" t="n">
        <v>23.5</v>
      </c>
      <c r="AD128" s="108" t="n"/>
      <c r="AE128" s="109" t="inlineStr">
        <is>
          <t>VISITADO</t>
        </is>
      </c>
      <c r="AF128" s="110" t="inlineStr">
        <is>
          <t>2024-05-07T11:05:58.147</t>
        </is>
      </c>
      <c r="AG128" s="115" t="n">
        <v>0.586</v>
      </c>
      <c r="AH128" s="449" t="n">
        <v>3.8</v>
      </c>
      <c r="AI128" s="126" t="n">
        <v>8</v>
      </c>
      <c r="AJ128" s="450" t="n">
        <v>2.31</v>
      </c>
      <c r="AK128" s="118" t="n">
        <v>0.031</v>
      </c>
      <c r="AL128" s="119" t="inlineStr">
        <is>
          <t>(1)</t>
        </is>
      </c>
      <c r="AM128" s="451" t="n">
        <v>0.18</v>
      </c>
      <c r="AN128" s="118" t="n">
        <v>0.015</v>
      </c>
      <c r="AO128" s="124">
        <f>5*41</f>
        <v/>
      </c>
      <c r="AP128" s="123" t="n">
        <v>100</v>
      </c>
      <c r="AQ128" s="163" t="n">
        <v>0</v>
      </c>
      <c r="AR128" s="163" t="n">
        <v>0</v>
      </c>
    </row>
    <row r="129" ht="20.25" customHeight="1">
      <c r="B129" s="76" t="n">
        <v>121</v>
      </c>
      <c r="C129" s="77" t="n">
        <v>681104.0786</v>
      </c>
      <c r="D129" s="139" t="n">
        <v>9150612.358899999</v>
      </c>
      <c r="E129" s="83" t="inlineStr">
        <is>
          <t>CH-123B</t>
        </is>
      </c>
      <c r="F129" s="80" t="n"/>
      <c r="G129" s="81" t="inlineStr">
        <is>
          <t>LA LIBERTAD</t>
        </is>
      </c>
      <c r="H129" s="81" t="inlineStr">
        <is>
          <t>ASCOPE</t>
        </is>
      </c>
      <c r="I129" s="81" t="inlineStr">
        <is>
          <t>RAZURI</t>
        </is>
      </c>
      <c r="J129" s="81" t="inlineStr">
        <is>
          <t>DERECHA</t>
        </is>
      </c>
      <c r="K129" s="81" t="n"/>
      <c r="L129" s="81" t="inlineStr">
        <is>
          <t>HUARMEY-CHICAMA</t>
        </is>
      </c>
      <c r="M129" s="81" t="inlineStr">
        <is>
          <t>CHICAMA</t>
        </is>
      </c>
      <c r="N129" s="81" t="inlineStr">
        <is>
          <t>Unidad Hidrografica 13773</t>
        </is>
      </c>
      <c r="O129" s="81" t="n"/>
      <c r="P129" s="81" t="n">
        <v>17</v>
      </c>
      <c r="Q129" s="81" t="n">
        <v>0</v>
      </c>
      <c r="R129" s="81" t="inlineStr">
        <is>
          <t>CHIRINOS BERNAQUE, JULIAN CRESCENCIO</t>
        </is>
      </c>
      <c r="S129" s="82" t="inlineStr">
        <is>
          <t>TACE</t>
        </is>
      </c>
      <c r="T129" s="83" t="inlineStr">
        <is>
          <t>AGRICOLA</t>
        </is>
      </c>
      <c r="U129" s="164" t="n">
        <v>45419</v>
      </c>
      <c r="V129" s="83" t="n">
        <v>0.6</v>
      </c>
      <c r="W129" s="83" t="n">
        <v>5.7</v>
      </c>
      <c r="X129" s="83" t="n">
        <v>5.1</v>
      </c>
      <c r="Y129" s="76" t="n">
        <v>0</v>
      </c>
      <c r="Z129" s="441" t="n">
        <v>1612</v>
      </c>
      <c r="AA129" s="442" t="n">
        <v>7.65</v>
      </c>
      <c r="AB129" s="443" t="n">
        <v>815</v>
      </c>
      <c r="AC129" s="442" t="n">
        <v>23.9</v>
      </c>
      <c r="AD129" s="165" t="n"/>
      <c r="AE129" s="166" t="inlineStr">
        <is>
          <t>VISITADO</t>
        </is>
      </c>
      <c r="AF129" s="167" t="inlineStr">
        <is>
          <t>2024-05-07T11:19:18.775</t>
        </is>
      </c>
      <c r="AG129" s="100" t="n">
        <v>1.14</v>
      </c>
      <c r="AH129" s="442" t="n">
        <v>3</v>
      </c>
      <c r="AI129" s="89" t="n">
        <v>9</v>
      </c>
      <c r="AJ129" s="444" t="n">
        <v>1.6</v>
      </c>
      <c r="AK129" s="91" t="n">
        <v>0.032</v>
      </c>
      <c r="AL129" s="92" t="inlineStr">
        <is>
          <t>(1)</t>
        </is>
      </c>
      <c r="AM129" s="445" t="n">
        <v>0.21</v>
      </c>
      <c r="AN129" s="91" t="n">
        <v>0.021</v>
      </c>
      <c r="AO129" s="140">
        <f>5*39</f>
        <v/>
      </c>
      <c r="AP129" s="96" t="inlineStr">
        <is>
          <t>*</t>
        </is>
      </c>
      <c r="AQ129" s="97" t="inlineStr">
        <is>
          <t>*</t>
        </is>
      </c>
      <c r="AR129" s="97" t="inlineStr">
        <is>
          <t>*</t>
        </is>
      </c>
    </row>
    <row r="130" ht="20.25" customHeight="1">
      <c r="B130" s="76" t="n">
        <v>122</v>
      </c>
      <c r="C130" s="77" t="n">
        <v>680973</v>
      </c>
      <c r="D130" s="139" t="n">
        <v>9146837</v>
      </c>
      <c r="E130" s="83" t="inlineStr">
        <is>
          <t>CH-32A-2</t>
        </is>
      </c>
      <c r="F130" s="80" t="n"/>
      <c r="G130" s="81" t="inlineStr">
        <is>
          <t>LA LIBERTAD</t>
        </is>
      </c>
      <c r="H130" s="81" t="inlineStr">
        <is>
          <t>ASCOPE</t>
        </is>
      </c>
      <c r="I130" s="81" t="inlineStr">
        <is>
          <t>PAIJAN</t>
        </is>
      </c>
      <c r="J130" s="81" t="inlineStr">
        <is>
          <t>DERECHA</t>
        </is>
      </c>
      <c r="K130" s="81" t="n"/>
      <c r="L130" s="81" t="inlineStr">
        <is>
          <t>HUARMEY-CHICAMA</t>
        </is>
      </c>
      <c r="M130" s="81" t="inlineStr">
        <is>
          <t>CHICAMA</t>
        </is>
      </c>
      <c r="N130" s="81" t="inlineStr">
        <is>
          <t>Unidad Hidrografica 13773</t>
        </is>
      </c>
      <c r="O130" s="81" t="n"/>
      <c r="P130" s="81" t="n">
        <v>17</v>
      </c>
      <c r="Q130" s="81" t="n">
        <v>0</v>
      </c>
      <c r="R130" s="81" t="inlineStr">
        <is>
          <t>EMP.AGRO INDUSTRIAL, CASA GRANDE S.A.</t>
        </is>
      </c>
      <c r="S130" s="82" t="inlineStr">
        <is>
          <t>TACE</t>
        </is>
      </c>
      <c r="T130" s="83" t="inlineStr">
        <is>
          <t>AGRÍCOLA</t>
        </is>
      </c>
      <c r="U130" s="164" t="n">
        <v>45419</v>
      </c>
      <c r="V130" s="83" t="n">
        <v>0.7</v>
      </c>
      <c r="W130" s="83" t="n">
        <v>1.95</v>
      </c>
      <c r="X130" s="83" t="n">
        <v>1.25</v>
      </c>
      <c r="Y130" s="76" t="n">
        <v>0</v>
      </c>
      <c r="Z130" s="443" t="n">
        <v>1429</v>
      </c>
      <c r="AA130" s="442" t="n">
        <v>7.22</v>
      </c>
      <c r="AB130" s="443" t="n">
        <v>730</v>
      </c>
      <c r="AC130" s="442" t="n">
        <v>24.2</v>
      </c>
      <c r="AD130" s="165" t="n"/>
      <c r="AE130" s="166" t="inlineStr">
        <is>
          <t>VISITADO</t>
        </is>
      </c>
      <c r="AF130" s="167" t="inlineStr">
        <is>
          <t>2024-05-07T09:59:21.722</t>
        </is>
      </c>
      <c r="AG130" s="100" t="n">
        <v>0.827</v>
      </c>
      <c r="AH130" s="442" t="n">
        <v>1.8</v>
      </c>
      <c r="AI130" s="89" t="n">
        <v>8</v>
      </c>
      <c r="AJ130" s="444" t="n">
        <v>1.45</v>
      </c>
      <c r="AK130" s="91" t="n">
        <v>0.022</v>
      </c>
      <c r="AL130" s="92" t="inlineStr">
        <is>
          <t>(1)</t>
        </is>
      </c>
      <c r="AM130" s="445" t="n">
        <v>0.19</v>
      </c>
      <c r="AN130" s="91" t="n">
        <v>0.033</v>
      </c>
      <c r="AO130" s="140">
        <f>5*35</f>
        <v/>
      </c>
      <c r="AP130" s="96" t="inlineStr">
        <is>
          <t>*</t>
        </is>
      </c>
      <c r="AQ130" s="97" t="inlineStr">
        <is>
          <t>*</t>
        </is>
      </c>
      <c r="AR130" s="97" t="inlineStr">
        <is>
          <t>*</t>
        </is>
      </c>
    </row>
    <row r="131" ht="20.25" customFormat="1" customHeight="1" s="54">
      <c r="B131" s="104" t="n">
        <v>123</v>
      </c>
      <c r="C131" s="105" t="n">
        <v>681822</v>
      </c>
      <c r="D131" s="138" t="n">
        <v>9148094</v>
      </c>
      <c r="E131" s="111" t="inlineStr">
        <is>
          <t>CH-32B-2</t>
        </is>
      </c>
      <c r="F131" s="108" t="inlineStr">
        <is>
          <t>IRHS-13-02-05-329</t>
        </is>
      </c>
      <c r="G131" s="109" t="inlineStr">
        <is>
          <t>LA LIBERTAD</t>
        </is>
      </c>
      <c r="H131" s="109" t="inlineStr">
        <is>
          <t>ASCOPE</t>
        </is>
      </c>
      <c r="I131" s="109" t="inlineStr">
        <is>
          <t>PAIJAN</t>
        </is>
      </c>
      <c r="J131" s="109" t="inlineStr">
        <is>
          <t>DERECHA</t>
        </is>
      </c>
      <c r="K131" s="109" t="n"/>
      <c r="L131" s="109" t="inlineStr">
        <is>
          <t>HUARMEY-CHICAMA</t>
        </is>
      </c>
      <c r="M131" s="109" t="inlineStr">
        <is>
          <t>CHICAMA</t>
        </is>
      </c>
      <c r="N131" s="109" t="inlineStr">
        <is>
          <t>Unidad Hidrografica 13773</t>
        </is>
      </c>
      <c r="O131" s="109" t="n">
        <v>41894</v>
      </c>
      <c r="P131" s="109" t="n">
        <v>17</v>
      </c>
      <c r="Q131" s="109" t="n">
        <v>0</v>
      </c>
      <c r="R131" s="109" t="inlineStr">
        <is>
          <t>RAYMUNDO ISLA MIRANDA</t>
        </is>
      </c>
      <c r="S131" s="110" t="inlineStr">
        <is>
          <t>TACE</t>
        </is>
      </c>
      <c r="T131" s="111" t="inlineStr">
        <is>
          <t>CONSUMO HUMANO Y AGRÍCOLA</t>
        </is>
      </c>
      <c r="U131" s="112" t="n">
        <v>45419</v>
      </c>
      <c r="V131" s="111" t="n">
        <v>-0.75</v>
      </c>
      <c r="W131" s="111" t="n">
        <v>1.29</v>
      </c>
      <c r="X131" s="111" t="n">
        <v>2.04</v>
      </c>
      <c r="Y131" s="104" t="n">
        <v>0</v>
      </c>
      <c r="Z131" s="453" t="n">
        <v>1226</v>
      </c>
      <c r="AA131" s="449" t="n">
        <v>7.19</v>
      </c>
      <c r="AB131" s="453" t="n">
        <v>624</v>
      </c>
      <c r="AC131" s="449" t="n">
        <v>24</v>
      </c>
      <c r="AD131" s="108" t="n"/>
      <c r="AE131" s="109" t="inlineStr">
        <is>
          <t>VISITADO</t>
        </is>
      </c>
      <c r="AF131" s="110" t="inlineStr">
        <is>
          <t>2024-05-07T10:10:32.584</t>
        </is>
      </c>
      <c r="AG131" s="115" t="n">
        <v>0.636</v>
      </c>
      <c r="AH131" s="449" t="n">
        <v>1.7</v>
      </c>
      <c r="AI131" s="126" t="n">
        <v>10</v>
      </c>
      <c r="AJ131" s="450" t="n">
        <v>1.57</v>
      </c>
      <c r="AK131" s="118" t="n">
        <v>0.038</v>
      </c>
      <c r="AL131" s="119" t="inlineStr">
        <is>
          <t>(1)</t>
        </is>
      </c>
      <c r="AM131" s="451" t="n">
        <v>0.17</v>
      </c>
      <c r="AN131" s="118" t="n">
        <v>0.04</v>
      </c>
      <c r="AO131" s="124">
        <f>5*40</f>
        <v/>
      </c>
      <c r="AP131" s="123" t="n">
        <v>80</v>
      </c>
      <c r="AQ131" s="163" t="n">
        <v>0</v>
      </c>
      <c r="AR131" s="163" t="n">
        <v>0</v>
      </c>
    </row>
    <row r="132" ht="20.25" customHeight="1">
      <c r="B132" s="76" t="n">
        <v>124</v>
      </c>
      <c r="C132" s="77" t="n">
        <v>682263</v>
      </c>
      <c r="D132" s="139" t="n">
        <v>9146830</v>
      </c>
      <c r="E132" s="83" t="inlineStr">
        <is>
          <t>CH-91B</t>
        </is>
      </c>
      <c r="F132" s="80" t="n"/>
      <c r="G132" s="81" t="inlineStr">
        <is>
          <t>LA LIBERTAD</t>
        </is>
      </c>
      <c r="H132" s="81" t="inlineStr">
        <is>
          <t>ASCOPE</t>
        </is>
      </c>
      <c r="I132" s="81" t="inlineStr">
        <is>
          <t>PAIJAN</t>
        </is>
      </c>
      <c r="J132" s="81" t="inlineStr">
        <is>
          <t>DERECHA</t>
        </is>
      </c>
      <c r="K132" s="81" t="n"/>
      <c r="L132" s="81" t="inlineStr">
        <is>
          <t>HUARMEY-CHICAMA</t>
        </is>
      </c>
      <c r="M132" s="81" t="inlineStr">
        <is>
          <t>CHICAMA</t>
        </is>
      </c>
      <c r="N132" s="81" t="inlineStr">
        <is>
          <t>Unidad Hidrografica 13773</t>
        </is>
      </c>
      <c r="O132" s="81" t="n"/>
      <c r="P132" s="81" t="n">
        <v>17</v>
      </c>
      <c r="Q132" s="81" t="n">
        <v>0</v>
      </c>
      <c r="R132" s="81" t="inlineStr">
        <is>
          <t>MENDOZA VASQUEZ, JUAN</t>
        </is>
      </c>
      <c r="S132" s="82" t="inlineStr">
        <is>
          <t>TACE</t>
        </is>
      </c>
      <c r="T132" s="83" t="inlineStr">
        <is>
          <t>AGRICOLA</t>
        </is>
      </c>
      <c r="U132" s="164" t="n">
        <v>45419</v>
      </c>
      <c r="V132" s="83" t="n">
        <v>0.6</v>
      </c>
      <c r="W132" s="83" t="n">
        <v>4.46</v>
      </c>
      <c r="X132" s="83" t="n">
        <v>3.86</v>
      </c>
      <c r="Y132" s="76" t="n">
        <v>0</v>
      </c>
      <c r="Z132" s="443" t="n">
        <v>1479</v>
      </c>
      <c r="AA132" s="442" t="n">
        <v>7.51</v>
      </c>
      <c r="AB132" s="443" t="n">
        <v>763</v>
      </c>
      <c r="AC132" s="442" t="n">
        <v>23.8</v>
      </c>
      <c r="AD132" s="165" t="n"/>
      <c r="AE132" s="166" t="inlineStr">
        <is>
          <t>VISITADO</t>
        </is>
      </c>
      <c r="AF132" s="167" t="inlineStr">
        <is>
          <t>2024-05-07T09:46:17.113</t>
        </is>
      </c>
      <c r="AG132" s="100" t="n">
        <v>0.529</v>
      </c>
      <c r="AH132" s="442" t="n">
        <v>2</v>
      </c>
      <c r="AI132" s="89" t="n">
        <v>6</v>
      </c>
      <c r="AJ132" s="444" t="n">
        <v>1</v>
      </c>
      <c r="AK132" s="91" t="n">
        <v>0.011</v>
      </c>
      <c r="AL132" s="92" t="inlineStr">
        <is>
          <t>(1)</t>
        </is>
      </c>
      <c r="AM132" s="445" t="n">
        <v>0.21</v>
      </c>
      <c r="AN132" s="91" t="n">
        <v>0.03</v>
      </c>
      <c r="AO132" s="140">
        <f>5*39</f>
        <v/>
      </c>
      <c r="AP132" s="96" t="inlineStr">
        <is>
          <t>*</t>
        </is>
      </c>
      <c r="AQ132" s="97" t="inlineStr">
        <is>
          <t>*</t>
        </is>
      </c>
      <c r="AR132" s="97" t="inlineStr">
        <is>
          <t>*</t>
        </is>
      </c>
    </row>
    <row r="133" ht="20.25" customHeight="1" thickBot="1">
      <c r="B133" s="76" t="n">
        <v>125</v>
      </c>
      <c r="C133" s="176" t="n">
        <v>677732</v>
      </c>
      <c r="D133" s="177" t="n">
        <v>9145891</v>
      </c>
      <c r="E133" s="178" t="inlineStr">
        <is>
          <t>CH-283B</t>
        </is>
      </c>
      <c r="F133" s="80" t="n"/>
      <c r="G133" s="81" t="inlineStr">
        <is>
          <t>LA LIBERTAD</t>
        </is>
      </c>
      <c r="H133" s="81" t="inlineStr">
        <is>
          <t>ASCOPE</t>
        </is>
      </c>
      <c r="I133" s="81" t="inlineStr">
        <is>
          <t>RAZURI</t>
        </is>
      </c>
      <c r="J133" s="81" t="inlineStr">
        <is>
          <t>DERECHA</t>
        </is>
      </c>
      <c r="K133" s="81" t="n"/>
      <c r="L133" s="81" t="inlineStr">
        <is>
          <t>HUARMEY-CHICAMA</t>
        </is>
      </c>
      <c r="M133" s="81" t="inlineStr">
        <is>
          <t>CHICAMA</t>
        </is>
      </c>
      <c r="N133" s="81" t="inlineStr">
        <is>
          <t>Unidad Hidrografica 13773</t>
        </is>
      </c>
      <c r="O133" s="81" t="n"/>
      <c r="P133" s="81" t="n">
        <v>17</v>
      </c>
      <c r="Q133" s="81" t="n">
        <v>0</v>
      </c>
      <c r="R133" s="81" t="inlineStr">
        <is>
          <t>COMUNIDAD CAMPESINA, DE PAIJAN</t>
        </is>
      </c>
      <c r="S133" s="82" t="inlineStr">
        <is>
          <t>TACE</t>
        </is>
      </c>
      <c r="T133" s="178" t="inlineStr">
        <is>
          <t>AGRICOLA</t>
        </is>
      </c>
      <c r="U133" s="164" t="n">
        <v>45422</v>
      </c>
      <c r="V133" s="178" t="n">
        <v>0.8</v>
      </c>
      <c r="W133" s="178" t="n">
        <v>2</v>
      </c>
      <c r="X133" s="178" t="n">
        <v>1.2</v>
      </c>
      <c r="Y133" s="179" t="n">
        <v>0</v>
      </c>
      <c r="Z133" s="462" t="n">
        <v>650</v>
      </c>
      <c r="AA133" s="463" t="n">
        <v>7.81</v>
      </c>
      <c r="AB133" s="464" t="n">
        <v>1882</v>
      </c>
      <c r="AC133" s="463" t="n">
        <v>24.6</v>
      </c>
      <c r="AD133" s="165" t="inlineStr">
        <is>
          <t>BOMBEANDO</t>
        </is>
      </c>
      <c r="AE133" s="166" t="inlineStr">
        <is>
          <t>VISITADO</t>
        </is>
      </c>
      <c r="AF133" s="167" t="inlineStr">
        <is>
          <t>2024-05-10T11:03:52.187</t>
        </is>
      </c>
      <c r="AG133" s="183" t="n">
        <v>0.672</v>
      </c>
      <c r="AH133" s="463" t="n">
        <v>2.1</v>
      </c>
      <c r="AI133" s="184" t="n">
        <v>7</v>
      </c>
      <c r="AJ133" s="465" t="n">
        <v>1.1</v>
      </c>
      <c r="AK133" s="186" t="n">
        <v>0.029</v>
      </c>
      <c r="AL133" s="187" t="inlineStr">
        <is>
          <t>(1)</t>
        </is>
      </c>
      <c r="AM133" s="466" t="n">
        <v>0.38</v>
      </c>
      <c r="AN133" s="186" t="n">
        <v>0.024</v>
      </c>
      <c r="AO133" s="189">
        <f>5*42</f>
        <v/>
      </c>
      <c r="AP133" s="96" t="inlineStr">
        <is>
          <t>*</t>
        </is>
      </c>
      <c r="AQ133" s="97" t="inlineStr">
        <is>
          <t>*</t>
        </is>
      </c>
      <c r="AR133" s="97" t="inlineStr">
        <is>
          <t>*</t>
        </is>
      </c>
    </row>
    <row r="134">
      <c r="B134" s="190" t="inlineStr">
        <is>
          <t>(*)No se realiza metodo microbiológico requerido para aguas catergia 3 - ECAS. Metodo utilizado para agua subterránea -  Siembra en placa.</t>
        </is>
      </c>
      <c r="C134" s="190" t="n"/>
      <c r="D134" s="190" t="n"/>
      <c r="E134" s="190" t="n"/>
      <c r="F134" s="190" t="n"/>
      <c r="G134" s="190" t="n"/>
      <c r="H134" s="190" t="n"/>
      <c r="I134" s="190" t="n"/>
      <c r="J134" s="190" t="n"/>
      <c r="K134" s="190" t="n"/>
      <c r="L134" s="190" t="n"/>
      <c r="M134" s="190" t="n"/>
      <c r="N134" s="190" t="n"/>
      <c r="O134" s="190" t="n"/>
      <c r="P134" s="190" t="n"/>
      <c r="Q134" s="190" t="n"/>
      <c r="R134" s="190" t="n"/>
      <c r="S134" s="190" t="n"/>
      <c r="T134" s="190" t="n"/>
      <c r="U134" s="190" t="n"/>
      <c r="V134" s="190" t="n"/>
      <c r="W134" s="190" t="n"/>
      <c r="X134" s="190" t="n"/>
      <c r="Y134" s="190" t="n"/>
      <c r="Z134" s="190" t="n"/>
      <c r="AA134" s="190" t="n"/>
      <c r="AB134" s="190" t="n"/>
      <c r="AC134" s="190" t="n"/>
      <c r="AD134" s="190" t="n"/>
      <c r="AE134" s="190" t="n"/>
      <c r="AF134" s="190" t="n"/>
      <c r="AG134" s="190" t="n"/>
      <c r="AH134" s="190" t="n"/>
    </row>
    <row r="135">
      <c r="B135" s="191" t="inlineStr">
        <is>
          <t>(1): No hay reactivo</t>
        </is>
      </c>
    </row>
    <row r="136">
      <c r="B136" s="191" t="inlineStr">
        <is>
          <t>(2): No se realizó muestreo por inaccesibilidad al punto</t>
        </is>
      </c>
    </row>
    <row r="137">
      <c r="B137" s="190" t="inlineStr">
        <is>
          <t>NE: No especifica</t>
        </is>
      </c>
    </row>
    <row r="138">
      <c r="B138" s="190" t="n"/>
      <c r="X138" s="355" t="n"/>
      <c r="Y138" s="355" t="n"/>
      <c r="Z138" s="355" t="n"/>
      <c r="AA138" s="467">
        <f>MAX(AA9:AA133)</f>
        <v/>
      </c>
      <c r="AB138" s="467">
        <f>MAX(AB9:AB133)</f>
        <v/>
      </c>
      <c r="AC138" s="467">
        <f>MAX(AC9:AC133)</f>
        <v/>
      </c>
      <c r="AD138" s="467">
        <f>MAX(AD9:AD133)</f>
        <v/>
      </c>
      <c r="AE138" s="467">
        <f>MAX(AE9:AE133)</f>
        <v/>
      </c>
      <c r="AF138" s="467">
        <f>MAX(AF9:AF133)</f>
        <v/>
      </c>
      <c r="AG138" s="467">
        <f>MAX(AG9:AG133)</f>
        <v/>
      </c>
      <c r="AH138" s="467">
        <f>MAX(AH9:AH133)</f>
        <v/>
      </c>
      <c r="AI138" s="467">
        <f>MAX(AI9:AI133)</f>
        <v/>
      </c>
      <c r="AJ138" s="467">
        <f>MAX(AJ9:AJ133)</f>
        <v/>
      </c>
      <c r="AK138" s="467">
        <f>MAX(AK9:AK133)</f>
        <v/>
      </c>
      <c r="AL138" s="467">
        <f>MAX(AL9:AL133)</f>
        <v/>
      </c>
      <c r="AM138" s="467">
        <f>MAX(AM9:AM133)</f>
        <v/>
      </c>
      <c r="AN138" s="467">
        <f>MAX(AN9:AN133)</f>
        <v/>
      </c>
      <c r="AO138" s="467">
        <f>MAX(AO9:AO133)</f>
        <v/>
      </c>
      <c r="AP138" s="467">
        <f>MAX(AP9:AP133)</f>
        <v/>
      </c>
      <c r="AQ138" s="467">
        <f>MAX(AQ9:AQ133)</f>
        <v/>
      </c>
      <c r="AR138" s="467">
        <f>MAX(AR9:AR133)</f>
        <v/>
      </c>
      <c r="AS138" s="355" t="n"/>
    </row>
    <row r="139" ht="15.75" customHeight="1" thickBot="1">
      <c r="X139" s="355" t="n"/>
      <c r="Y139" s="355" t="n"/>
      <c r="Z139" s="355" t="n"/>
      <c r="AA139" s="467">
        <f>MIN(AA10:AA134)</f>
        <v/>
      </c>
      <c r="AB139" s="467">
        <f>MIN(AB10:AB134)</f>
        <v/>
      </c>
      <c r="AC139" s="467">
        <f>MIN(AC10:AC134)</f>
        <v/>
      </c>
      <c r="AD139" s="467">
        <f>MIN(AD10:AD134)</f>
        <v/>
      </c>
      <c r="AE139" s="467">
        <f>MIN(AE10:AE134)</f>
        <v/>
      </c>
      <c r="AF139" s="467">
        <f>MIN(AF10:AF134)</f>
        <v/>
      </c>
      <c r="AG139" s="467">
        <f>MIN(AG10:AG134)</f>
        <v/>
      </c>
      <c r="AH139" s="467">
        <f>MIN(AH10:AH134)</f>
        <v/>
      </c>
      <c r="AI139" s="467">
        <f>MIN(AI10:AI134)</f>
        <v/>
      </c>
      <c r="AJ139" s="467">
        <f>MIN(AJ10:AJ134)</f>
        <v/>
      </c>
      <c r="AK139" s="467">
        <f>MIN(AK10:AK134)</f>
        <v/>
      </c>
      <c r="AL139" s="467">
        <f>MIN(AL10:AL134)</f>
        <v/>
      </c>
      <c r="AM139" s="219">
        <f>MIN(AM10:AM134)</f>
        <v/>
      </c>
      <c r="AN139" s="467">
        <f>MIN(AN10:AN134)</f>
        <v/>
      </c>
      <c r="AO139" s="467">
        <f>MIN(AO10:AO134)</f>
        <v/>
      </c>
      <c r="AP139" s="467">
        <f>MIN(AP10:AP134)</f>
        <v/>
      </c>
      <c r="AQ139" s="467">
        <f>MIN(AQ10:AQ134)</f>
        <v/>
      </c>
      <c r="AR139" s="467">
        <f>MIN(AR10:AR134)</f>
        <v/>
      </c>
      <c r="AS139" s="355" t="n"/>
    </row>
    <row r="140" ht="15.75" customHeight="1" thickBot="1">
      <c r="X140" s="355" t="n"/>
      <c r="Y140" s="355" t="n"/>
      <c r="Z140" s="203" t="n">
        <v>58</v>
      </c>
      <c r="AA140" s="203" t="n">
        <v>1</v>
      </c>
      <c r="AB140" s="203" t="n">
        <v>34</v>
      </c>
      <c r="AC140" s="203" t="n"/>
      <c r="AD140" s="203" t="n"/>
      <c r="AE140" s="203" t="n"/>
      <c r="AF140" s="203" t="n"/>
      <c r="AG140" s="203" t="n">
        <v>37</v>
      </c>
      <c r="AH140" s="203" t="n"/>
      <c r="AI140" s="203" t="n">
        <v>35</v>
      </c>
      <c r="AJ140" s="203" t="n">
        <v>0</v>
      </c>
      <c r="AK140" s="203" t="n">
        <v>5</v>
      </c>
      <c r="AL140" s="203" t="n"/>
      <c r="AM140" s="203" t="n">
        <v>0</v>
      </c>
      <c r="AN140" s="203" t="n">
        <v>21</v>
      </c>
      <c r="AO140" s="203" t="n">
        <v>30</v>
      </c>
      <c r="AP140" s="203" t="n">
        <v>33</v>
      </c>
      <c r="AQ140" s="203" t="n">
        <v>5</v>
      </c>
      <c r="AR140" s="203" t="n">
        <v>1</v>
      </c>
      <c r="AS140" s="355" t="n"/>
    </row>
    <row r="141">
      <c r="X141" s="355" t="n"/>
      <c r="Y141" s="355" t="n"/>
      <c r="Z141" s="204">
        <f>(100*Z140)/121</f>
        <v/>
      </c>
      <c r="AA141" s="204">
        <f>(100*AA140)/121</f>
        <v/>
      </c>
      <c r="AB141" s="204">
        <f>(100*AB140)/121</f>
        <v/>
      </c>
      <c r="AC141" s="204">
        <f>(100*AC140)/121</f>
        <v/>
      </c>
      <c r="AD141" s="204">
        <f>(100*AD140)/121</f>
        <v/>
      </c>
      <c r="AE141" s="204">
        <f>(100*AE140)/121</f>
        <v/>
      </c>
      <c r="AF141" s="204">
        <f>(100*AF140)/121</f>
        <v/>
      </c>
      <c r="AG141" s="204">
        <f>(100*AG140)/121</f>
        <v/>
      </c>
      <c r="AH141" s="204">
        <f>(100*AH140)/121</f>
        <v/>
      </c>
      <c r="AI141" s="204">
        <f>(100*AI140)/121</f>
        <v/>
      </c>
      <c r="AJ141" s="204">
        <f>(100*AJ140)/121</f>
        <v/>
      </c>
      <c r="AK141" s="204">
        <f>(100*AK140)/121</f>
        <v/>
      </c>
      <c r="AL141" s="204">
        <f>(100*AL140)/121</f>
        <v/>
      </c>
      <c r="AM141" s="204">
        <f>(100*AM140)/121</f>
        <v/>
      </c>
      <c r="AN141" s="204">
        <f>(100*AN140)/121</f>
        <v/>
      </c>
      <c r="AO141" s="204">
        <f>(100*AO140)/121</f>
        <v/>
      </c>
      <c r="AP141" s="204">
        <f>(100*AP140)/33</f>
        <v/>
      </c>
      <c r="AQ141" s="204">
        <f>(100*AQ140)/33</f>
        <v/>
      </c>
      <c r="AR141" s="204">
        <f>(100*AR140)/33</f>
        <v/>
      </c>
      <c r="AS141" s="204" t="n"/>
    </row>
    <row r="142">
      <c r="X142" s="355" t="n"/>
      <c r="Y142" s="355" t="n"/>
      <c r="Z142" s="355" t="n"/>
      <c r="AA142" s="355" t="n"/>
      <c r="AB142" s="355" t="n"/>
      <c r="AC142" s="355" t="n"/>
      <c r="AD142" s="355" t="n"/>
      <c r="AE142" s="355" t="n"/>
      <c r="AF142" s="355" t="n"/>
      <c r="AG142" s="355" t="n"/>
      <c r="AH142" s="355" t="n"/>
      <c r="AI142" s="355" t="n"/>
      <c r="AJ142" s="355" t="n"/>
      <c r="AK142" s="355" t="n"/>
      <c r="AL142" s="355" t="n"/>
      <c r="AM142" s="355" t="n"/>
      <c r="AN142" s="355" t="n"/>
      <c r="AO142" s="355" t="n"/>
      <c r="AP142" s="355" t="n"/>
      <c r="AQ142" s="355" t="n"/>
      <c r="AR142" s="355" t="n"/>
      <c r="AS142" s="355" t="n"/>
    </row>
    <row r="143">
      <c r="X143" s="355" t="n"/>
      <c r="Y143" s="355" t="inlineStr">
        <is>
          <t>Rieo</t>
        </is>
      </c>
      <c r="Z143" s="355" t="inlineStr">
        <is>
          <t>&gt;17</t>
        </is>
      </c>
      <c r="AA143" s="355" t="n"/>
      <c r="AB143" s="355" t="n"/>
      <c r="AC143" s="355" t="n"/>
      <c r="AD143" s="355" t="n"/>
      <c r="AE143" s="355" t="n"/>
      <c r="AF143" s="355" t="n"/>
      <c r="AG143" s="355" t="n"/>
      <c r="AH143" s="355" t="n"/>
      <c r="AI143" s="355" t="inlineStr">
        <is>
          <t>&gt;29</t>
        </is>
      </c>
      <c r="AJ143" s="355" t="inlineStr">
        <is>
          <t>&lt;36&gt;</t>
        </is>
      </c>
      <c r="AK143" s="355" t="n"/>
      <c r="AL143" s="355" t="n"/>
      <c r="AM143" s="355" t="n"/>
      <c r="AN143" s="355" t="n"/>
      <c r="AO143" s="355" t="n"/>
      <c r="AP143" s="355" t="n"/>
      <c r="AQ143" s="355" t="n"/>
      <c r="AR143" s="355" t="n"/>
      <c r="AS143" s="355" t="n"/>
    </row>
    <row r="144">
      <c r="X144" s="355" t="n"/>
      <c r="Y144" s="355" t="inlineStr">
        <is>
          <t>Animales</t>
        </is>
      </c>
      <c r="Z144" s="355" t="inlineStr">
        <is>
          <t>&gt;16</t>
        </is>
      </c>
      <c r="AA144" s="355" t="n"/>
      <c r="AB144" s="355" t="n"/>
      <c r="AC144" s="355" t="n"/>
      <c r="AD144" s="355" t="n"/>
      <c r="AE144" s="355" t="n"/>
      <c r="AF144" s="355" t="n"/>
      <c r="AG144" s="355" t="n"/>
      <c r="AH144" s="355" t="n"/>
      <c r="AJ144" s="355" t="inlineStr">
        <is>
          <t>&lt;23&gt;</t>
        </is>
      </c>
      <c r="AK144" s="355" t="n"/>
      <c r="AL144" s="355" t="n"/>
      <c r="AM144" s="355" t="n"/>
      <c r="AN144" s="355" t="n"/>
      <c r="AO144" s="355" t="n"/>
      <c r="AP144" s="355" t="n"/>
      <c r="AQ144" s="355" t="n"/>
      <c r="AR144" s="355" t="n"/>
      <c r="AS144" s="355" t="n"/>
    </row>
    <row r="145">
      <c r="X145" s="355" t="n"/>
      <c r="Y145" s="355" t="n"/>
      <c r="Z145" s="355" t="n"/>
      <c r="AA145" s="355" t="n"/>
      <c r="AB145" s="355" t="n"/>
      <c r="AC145" s="355" t="n"/>
      <c r="AD145" s="355" t="n"/>
      <c r="AE145" s="355" t="n"/>
      <c r="AF145" s="355" t="n"/>
      <c r="AG145" s="355" t="n"/>
      <c r="AH145" s="355" t="n"/>
      <c r="AI145" s="355" t="n"/>
      <c r="AJ145" s="355" t="n"/>
      <c r="AK145" s="205" t="n"/>
      <c r="AL145" s="355" t="n"/>
      <c r="AM145" s="355" t="n"/>
      <c r="AN145" s="355" t="n"/>
      <c r="AO145" s="355" t="n"/>
      <c r="AP145" s="355" t="n"/>
      <c r="AQ145" s="355" t="n"/>
      <c r="AR145" s="355" t="n"/>
      <c r="AS145" s="355" t="n"/>
    </row>
    <row r="146">
      <c r="Y146" s="360" t="inlineStr">
        <is>
          <t>MAX</t>
        </is>
      </c>
      <c r="Z146" s="468">
        <f>MAX(Z9:Z133)</f>
        <v/>
      </c>
      <c r="AA146" s="469">
        <f>MAX(AA9:AA133)</f>
        <v/>
      </c>
      <c r="AB146" s="468">
        <f>MAX(AB9:AB133)</f>
        <v/>
      </c>
      <c r="AC146" s="468">
        <f>MAX(AC9:AC133)</f>
        <v/>
      </c>
      <c r="AD146" s="468">
        <f>MAX(AD9:AD133)</f>
        <v/>
      </c>
      <c r="AE146" s="468">
        <f>MAX(AE9:AE133)</f>
        <v/>
      </c>
      <c r="AF146" s="468">
        <f>MAX(AF9:AF133)</f>
        <v/>
      </c>
      <c r="AG146" s="468">
        <f>MAX(AG9:AG133)</f>
        <v/>
      </c>
      <c r="AH146" s="468">
        <f>MAX(AH9:AH133)</f>
        <v/>
      </c>
      <c r="AI146" s="468">
        <f>MAX(AI9:AI133)</f>
        <v/>
      </c>
      <c r="AJ146" s="468">
        <f>MAX(AJ9:AJ133)</f>
        <v/>
      </c>
      <c r="AK146" s="469">
        <f>MAX(AK9:AK133)</f>
        <v/>
      </c>
      <c r="AL146" s="468">
        <f>MAX(AL9:AL133)</f>
        <v/>
      </c>
      <c r="AM146" s="468">
        <f>MAX(AM9:AM133)</f>
        <v/>
      </c>
      <c r="AN146" s="468">
        <f>MAX(AN9:AN133)</f>
        <v/>
      </c>
      <c r="AO146" s="468">
        <f>MAX(AO9:AO133)</f>
        <v/>
      </c>
      <c r="AP146" s="468">
        <f>MAX(AP9:AP133)</f>
        <v/>
      </c>
      <c r="AQ146" s="468">
        <f>MAX(AQ9:AQ133)</f>
        <v/>
      </c>
      <c r="AR146" s="468">
        <f>MAX(AR9:AR133)</f>
        <v/>
      </c>
    </row>
    <row r="147">
      <c r="Y147" s="360" t="inlineStr">
        <is>
          <t>MIN</t>
        </is>
      </c>
      <c r="Z147" s="469">
        <f>MIN(Z9:Z133)</f>
        <v/>
      </c>
      <c r="AA147" s="469">
        <f>MIN(AA9:AA133)</f>
        <v/>
      </c>
      <c r="AB147" s="469">
        <f>MIN(AB9:AB133)</f>
        <v/>
      </c>
      <c r="AC147" s="468">
        <f>MIN(AC9:AC133)</f>
        <v/>
      </c>
      <c r="AD147" s="469">
        <f>MIN(AD9:AD133)</f>
        <v/>
      </c>
      <c r="AE147" s="469">
        <f>MIN(AE9:AE133)</f>
        <v/>
      </c>
      <c r="AF147" s="469">
        <f>MIN(AF9:AF133)</f>
        <v/>
      </c>
      <c r="AG147" s="469">
        <f>MIN(AG9:AG133)</f>
        <v/>
      </c>
      <c r="AH147" s="469">
        <f>MIN(AH9:AH133)</f>
        <v/>
      </c>
      <c r="AI147" s="469">
        <f>MIN(AI9:AI133)</f>
        <v/>
      </c>
      <c r="AJ147" s="469">
        <f>MIN(AJ9:AJ133)</f>
        <v/>
      </c>
      <c r="AK147" s="470">
        <f>MIN(AK9:AK133)</f>
        <v/>
      </c>
      <c r="AL147" s="470">
        <f>MIN(AL9:AL133)</f>
        <v/>
      </c>
      <c r="AM147" s="470">
        <f>MIN(AM9:AM133)</f>
        <v/>
      </c>
      <c r="AN147" s="470">
        <f>MIN(AN9:AN133)</f>
        <v/>
      </c>
      <c r="AO147" s="469">
        <f>MIN(AO9:AO133)</f>
        <v/>
      </c>
      <c r="AP147" s="469">
        <f>MIN(AP9:AP133)</f>
        <v/>
      </c>
      <c r="AQ147" s="469">
        <f>MIN(AQ9:AQ133)</f>
        <v/>
      </c>
      <c r="AR147" s="469">
        <f>MIN(AR9:AR133)</f>
        <v/>
      </c>
    </row>
  </sheetData>
  <mergeCells count="16">
    <mergeCell ref="AQ7:AR7"/>
    <mergeCell ref="D5:D7"/>
    <mergeCell ref="AA3:AA4"/>
    <mergeCell ref="AQ6:AR6"/>
    <mergeCell ref="E3:E4"/>
    <mergeCell ref="V3:V4"/>
    <mergeCell ref="AI143:AI144"/>
    <mergeCell ref="T3:T4"/>
    <mergeCell ref="C5:C7"/>
    <mergeCell ref="X3:X4"/>
    <mergeCell ref="W3:W4"/>
    <mergeCell ref="E5:E7"/>
    <mergeCell ref="Y3:Y4"/>
    <mergeCell ref="B6:B7"/>
    <mergeCell ref="B1:AR1"/>
    <mergeCell ref="C3:D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X78"/>
  <sheetViews>
    <sheetView zoomScale="85" zoomScaleNormal="85" workbookViewId="0">
      <pane xSplit="6" ySplit="7" topLeftCell="G68" activePane="bottomRight" state="frozen"/>
      <selection pane="topRight" activeCell="G1" sqref="G1"/>
      <selection pane="bottomLeft" activeCell="A8" sqref="A8"/>
      <selection pane="bottomRight" activeCell="F58" sqref="F58"/>
    </sheetView>
  </sheetViews>
  <sheetFormatPr baseColWidth="10" defaultColWidth="11.42578125" defaultRowHeight="15"/>
  <cols>
    <col width="4.28515625" customWidth="1" style="360" min="1" max="1"/>
    <col width="14.28515625" customWidth="1" style="360" min="2" max="2"/>
    <col width="11.28515625" customWidth="1" style="360" min="3" max="3"/>
    <col width="8" customWidth="1" style="360" min="4" max="4"/>
    <col width="10" customWidth="1" style="360" min="5" max="5"/>
    <col width="21.7109375" customWidth="1" style="360" min="6" max="6"/>
    <col width="11.42578125" customWidth="1" style="360" min="7" max="11"/>
    <col width="12.7109375" customWidth="1" style="360" min="12" max="12"/>
    <col hidden="1" style="360" min="13" max="18"/>
    <col hidden="1" width="13.5703125" customWidth="1" style="360" min="19" max="19"/>
    <col width="11.42578125" customWidth="1" style="360" min="20" max="20"/>
    <col width="13.7109375" customWidth="1" style="360" min="21" max="22"/>
    <col width="11.42578125" customWidth="1" style="360" min="23" max="16384"/>
  </cols>
  <sheetData>
    <row r="2" ht="48" customHeight="1" thickBot="1">
      <c r="B2" s="361" t="inlineStr">
        <is>
          <t>RESULTADOS ANÁLISIS FISICOS DE LA CALIDAD DE AGUA SUBTERRANEA VALLE DE VIRÚ
SETIEMBRE - OCTUBRE 2024 -1° MONITOREO</t>
        </is>
      </c>
    </row>
    <row r="3" ht="36.75" customHeight="1" thickBot="1">
      <c r="B3" s="9" t="inlineStr">
        <is>
          <t>PARAMETRO</t>
        </is>
      </c>
      <c r="C3" s="471" t="inlineStr">
        <is>
          <t>Nº de Pozo de observación</t>
        </is>
      </c>
      <c r="D3" s="381" t="n"/>
      <c r="E3" s="471" t="inlineStr">
        <is>
          <t>Coordenada Datum: WGS-84</t>
        </is>
      </c>
      <c r="F3" s="381" t="n"/>
      <c r="G3" s="367" t="inlineStr">
        <is>
          <t>Conductividad Eléctrica</t>
        </is>
      </c>
      <c r="H3" s="11" t="inlineStr">
        <is>
          <t>Sólidos Totales  Disueltos</t>
        </is>
      </c>
      <c r="I3" s="12" t="inlineStr">
        <is>
          <t>pH</t>
        </is>
      </c>
      <c r="J3" s="12" t="inlineStr">
        <is>
          <t>Temperatura (T°)</t>
        </is>
      </c>
      <c r="K3" s="9" t="inlineStr">
        <is>
          <t xml:space="preserve">Turbidez </t>
        </is>
      </c>
      <c r="L3" s="9" t="inlineStr">
        <is>
          <t>Nitratos  (NO3-)</t>
        </is>
      </c>
      <c r="M3" s="367" t="inlineStr">
        <is>
          <t>Nitritos  (NO2-)</t>
        </is>
      </c>
      <c r="N3" s="9" t="inlineStr">
        <is>
          <t>Cobre (Cu)</t>
        </is>
      </c>
      <c r="O3" s="367" t="inlineStr">
        <is>
          <t>Cromo Hexavalente (Cr6+)</t>
        </is>
      </c>
      <c r="P3" s="9" t="inlineStr">
        <is>
          <t>Hierro (Fe)</t>
        </is>
      </c>
      <c r="Q3" s="9" t="inlineStr">
        <is>
          <t>Manganeso (Mn)</t>
        </is>
      </c>
      <c r="R3" s="9" t="inlineStr">
        <is>
          <t>Zinc (Zn)</t>
        </is>
      </c>
      <c r="S3" s="9" t="inlineStr">
        <is>
          <t>Sulfatos  (SO₄²-)</t>
        </is>
      </c>
      <c r="T3" s="12" t="inlineStr">
        <is>
          <t>Coliformes
Totales</t>
        </is>
      </c>
      <c r="U3" s="13" t="inlineStr">
        <is>
          <t>Coliformes
Termotolerantes</t>
        </is>
      </c>
      <c r="V3" s="14" t="inlineStr">
        <is>
          <t>Escherichia coli</t>
        </is>
      </c>
    </row>
    <row r="4" ht="15.75" customHeight="1" thickBot="1">
      <c r="B4" s="9" t="inlineStr">
        <is>
          <t>UM</t>
        </is>
      </c>
      <c r="C4" s="384" t="n"/>
      <c r="D4" s="385" t="n"/>
      <c r="E4" s="384" t="n"/>
      <c r="F4" s="385" t="n"/>
      <c r="G4" s="367" t="inlineStr">
        <is>
          <t>µmho/cm</t>
        </is>
      </c>
      <c r="H4" s="367" t="inlineStr">
        <is>
          <t>mg/L</t>
        </is>
      </c>
      <c r="I4" s="387" t="n"/>
      <c r="J4" s="386" t="n"/>
      <c r="K4" s="367" t="inlineStr">
        <is>
          <t>NTU</t>
        </is>
      </c>
      <c r="L4" s="12" t="inlineStr">
        <is>
          <t>mg/L</t>
        </is>
      </c>
      <c r="M4" s="12" t="inlineStr">
        <is>
          <t>mg/L</t>
        </is>
      </c>
      <c r="N4" s="12" t="inlineStr">
        <is>
          <t>mg/L</t>
        </is>
      </c>
      <c r="O4" s="12" t="inlineStr">
        <is>
          <t>mg/L</t>
        </is>
      </c>
      <c r="P4" s="12" t="inlineStr">
        <is>
          <t>mg/L</t>
        </is>
      </c>
      <c r="Q4" s="12" t="inlineStr">
        <is>
          <t>mg/L</t>
        </is>
      </c>
      <c r="R4" s="12" t="inlineStr">
        <is>
          <t>mg/L</t>
        </is>
      </c>
      <c r="S4" s="12" t="inlineStr">
        <is>
          <t>mg/L</t>
        </is>
      </c>
      <c r="T4" s="16" t="inlineStr">
        <is>
          <t>UFC/100 ml</t>
        </is>
      </c>
      <c r="U4" s="11" t="inlineStr">
        <is>
          <t>UFC/100 ml</t>
        </is>
      </c>
      <c r="V4" s="12" t="inlineStr">
        <is>
          <t>UFC/100 ml</t>
        </is>
      </c>
    </row>
    <row r="5" ht="24.75" customHeight="1" thickBot="1">
      <c r="B5" s="9" t="inlineStr">
        <is>
          <t>DS N° 031-2010-SA</t>
        </is>
      </c>
      <c r="C5" s="9" t="inlineStr">
        <is>
          <t>Antiguo</t>
        </is>
      </c>
      <c r="D5" s="9" t="inlineStr">
        <is>
          <t>IRHS</t>
        </is>
      </c>
      <c r="E5" s="9" t="inlineStr">
        <is>
          <t>Este</t>
        </is>
      </c>
      <c r="F5" s="9" t="inlineStr">
        <is>
          <t>Norte</t>
        </is>
      </c>
      <c r="G5" s="17" t="n">
        <v>1500</v>
      </c>
      <c r="H5" s="17" t="n">
        <v>1000</v>
      </c>
      <c r="I5" s="367" t="inlineStr">
        <is>
          <t>6.5-8.5</t>
        </is>
      </c>
      <c r="J5" s="387" t="n"/>
      <c r="K5" s="9" t="n">
        <v>5</v>
      </c>
      <c r="L5" s="18" t="n">
        <v>50</v>
      </c>
      <c r="M5" s="18" t="n">
        <v>3</v>
      </c>
      <c r="N5" s="369" t="n">
        <v>2</v>
      </c>
      <c r="O5" s="369" t="n">
        <v>0.05</v>
      </c>
      <c r="P5" s="369" t="n">
        <v>0.3</v>
      </c>
      <c r="Q5" s="18" t="n">
        <v>0.4</v>
      </c>
      <c r="R5" s="369" t="n">
        <v>3</v>
      </c>
      <c r="S5" s="18" t="n">
        <v>250</v>
      </c>
      <c r="T5" s="12" t="n">
        <v>0</v>
      </c>
      <c r="U5" s="12" t="n">
        <v>0</v>
      </c>
      <c r="V5" s="12" t="n">
        <v>0</v>
      </c>
    </row>
    <row r="6" ht="25.5" customHeight="1" thickBot="1">
      <c r="B6" s="370" t="inlineStr">
        <is>
          <t>DS N° 004-2017 MINAM</t>
        </is>
      </c>
      <c r="C6" s="25" t="inlineStr">
        <is>
          <t>Riego deVegetales</t>
        </is>
      </c>
      <c r="D6" s="379" t="n"/>
      <c r="E6" s="379" t="n"/>
      <c r="F6" s="380" t="n"/>
      <c r="G6" s="19" t="n">
        <v>2500</v>
      </c>
      <c r="H6" s="20" t="inlineStr">
        <is>
          <t>-</t>
        </is>
      </c>
      <c r="I6" s="21" t="inlineStr">
        <is>
          <t>6,5 – 8,5</t>
        </is>
      </c>
      <c r="J6" s="21" t="n"/>
      <c r="K6" s="198" t="inlineStr">
        <is>
          <t>-</t>
        </is>
      </c>
      <c r="L6" s="20" t="n">
        <v>100</v>
      </c>
      <c r="M6" s="22" t="n">
        <v>10</v>
      </c>
      <c r="N6" s="22" t="n">
        <v>0.2</v>
      </c>
      <c r="O6" s="22" t="n">
        <v>5</v>
      </c>
      <c r="P6" s="22" t="n">
        <v>5</v>
      </c>
      <c r="Q6" s="22" t="n">
        <v>0.2</v>
      </c>
      <c r="R6" s="22" t="n">
        <v>2</v>
      </c>
      <c r="S6" s="23" t="n">
        <v>1000</v>
      </c>
      <c r="T6" s="22" t="inlineStr">
        <is>
          <t>*</t>
        </is>
      </c>
      <c r="U6" s="379" t="n"/>
      <c r="V6" s="380" t="n"/>
    </row>
    <row r="7" ht="26.25" customHeight="1" thickBot="1">
      <c r="C7" s="25" t="inlineStr">
        <is>
          <t>Consumo de Animales</t>
        </is>
      </c>
      <c r="D7" s="379" t="n"/>
      <c r="E7" s="379" t="n"/>
      <c r="F7" s="380" t="n"/>
      <c r="G7" s="24" t="n">
        <v>5000</v>
      </c>
      <c r="H7" s="20" t="inlineStr">
        <is>
          <t>-</t>
        </is>
      </c>
      <c r="I7" s="25" t="inlineStr">
        <is>
          <t>6,5 – 8,4</t>
        </is>
      </c>
      <c r="J7" s="387" t="n"/>
      <c r="K7" s="198" t="inlineStr">
        <is>
          <t>-</t>
        </is>
      </c>
      <c r="L7" s="20" t="n">
        <v>100</v>
      </c>
      <c r="M7" s="22" t="n">
        <v>10</v>
      </c>
      <c r="N7" s="22" t="n">
        <v>0.5</v>
      </c>
      <c r="O7" s="22" t="inlineStr">
        <is>
          <t>-</t>
        </is>
      </c>
      <c r="P7" s="22" t="inlineStr">
        <is>
          <t>-</t>
        </is>
      </c>
      <c r="Q7" s="22" t="n">
        <v>0.2</v>
      </c>
      <c r="R7" s="22" t="n">
        <v>24</v>
      </c>
      <c r="S7" s="23" t="n">
        <v>1000</v>
      </c>
      <c r="T7" s="22" t="inlineStr">
        <is>
          <t>*</t>
        </is>
      </c>
      <c r="U7" s="379" t="n"/>
      <c r="V7" s="380" t="n"/>
    </row>
    <row r="8" ht="15.75" customHeight="1" thickBot="1">
      <c r="B8" s="26" t="inlineStr">
        <is>
          <t>M - 01</t>
        </is>
      </c>
      <c r="C8" s="192" t="inlineStr">
        <is>
          <t>PM-21</t>
        </is>
      </c>
      <c r="D8" s="192" t="n">
        <v>1749</v>
      </c>
      <c r="E8" s="192" t="n">
        <v>731890</v>
      </c>
      <c r="F8" s="192" t="n">
        <v>9071219</v>
      </c>
      <c r="G8" s="197" t="inlineStr">
        <is>
          <t>-</t>
        </is>
      </c>
      <c r="H8" s="197" t="inlineStr">
        <is>
          <t>-</t>
        </is>
      </c>
      <c r="I8" s="197" t="inlineStr">
        <is>
          <t>-</t>
        </is>
      </c>
      <c r="J8" s="197" t="inlineStr">
        <is>
          <t>-</t>
        </is>
      </c>
      <c r="K8" s="197" t="inlineStr">
        <is>
          <t>-</t>
        </is>
      </c>
      <c r="L8" s="197" t="inlineStr">
        <is>
          <t>-</t>
        </is>
      </c>
      <c r="M8" s="193" t="inlineStr">
        <is>
          <t>-</t>
        </is>
      </c>
      <c r="N8" s="193" t="inlineStr">
        <is>
          <t>-</t>
        </is>
      </c>
      <c r="O8" s="193" t="inlineStr">
        <is>
          <t>-</t>
        </is>
      </c>
      <c r="P8" s="193" t="inlineStr">
        <is>
          <t>-</t>
        </is>
      </c>
      <c r="Q8" s="193" t="inlineStr">
        <is>
          <t>-</t>
        </is>
      </c>
      <c r="R8" s="193" t="inlineStr">
        <is>
          <t>-</t>
        </is>
      </c>
      <c r="S8" s="193" t="inlineStr">
        <is>
          <t>-</t>
        </is>
      </c>
      <c r="T8" s="200" t="inlineStr">
        <is>
          <t>-</t>
        </is>
      </c>
      <c r="U8" s="197" t="inlineStr">
        <is>
          <t>-</t>
        </is>
      </c>
      <c r="V8" s="197" t="inlineStr">
        <is>
          <t>-</t>
        </is>
      </c>
    </row>
    <row r="9" ht="15.75" customHeight="1" thickBot="1">
      <c r="B9" s="26" t="inlineStr">
        <is>
          <t>M - 02</t>
        </is>
      </c>
      <c r="C9" s="192" t="inlineStr">
        <is>
          <t>PM-9</t>
        </is>
      </c>
      <c r="D9" s="192" t="n">
        <v>908</v>
      </c>
      <c r="E9" s="192" t="n">
        <v>731796</v>
      </c>
      <c r="F9" s="192" t="n">
        <v>9070157</v>
      </c>
      <c r="G9" s="472" t="n">
        <v>1781</v>
      </c>
      <c r="H9" s="473" t="n">
        <v>890</v>
      </c>
      <c r="I9" s="197" t="inlineStr">
        <is>
          <t>7.8</t>
        </is>
      </c>
      <c r="J9" s="197" t="inlineStr">
        <is>
          <t>24.2</t>
        </is>
      </c>
      <c r="K9" s="197" t="n">
        <v>1.75</v>
      </c>
      <c r="L9" s="197" t="inlineStr">
        <is>
          <t>1.2</t>
        </is>
      </c>
      <c r="M9" s="194" t="n"/>
      <c r="N9" s="194" t="n"/>
      <c r="O9" s="194" t="n"/>
      <c r="P9" s="194" t="n"/>
      <c r="Q9" s="194" t="n"/>
      <c r="R9" s="194" t="n"/>
      <c r="S9" s="194" t="n"/>
      <c r="T9" s="200" t="inlineStr">
        <is>
          <t>-</t>
        </is>
      </c>
      <c r="U9" s="197" t="inlineStr">
        <is>
          <t>-</t>
        </is>
      </c>
      <c r="V9" s="197" t="inlineStr">
        <is>
          <t>-</t>
        </is>
      </c>
    </row>
    <row r="10" ht="15.75" customHeight="1" thickBot="1">
      <c r="B10" s="26" t="inlineStr">
        <is>
          <t>M - 03</t>
        </is>
      </c>
      <c r="C10" s="192" t="inlineStr">
        <is>
          <t>V-300B</t>
        </is>
      </c>
      <c r="D10" s="192" t="n"/>
      <c r="E10" s="192" t="n">
        <v>732736</v>
      </c>
      <c r="F10" s="192" t="n">
        <v>9069703</v>
      </c>
      <c r="G10" s="473" t="inlineStr">
        <is>
          <t>-</t>
        </is>
      </c>
      <c r="H10" s="197" t="inlineStr">
        <is>
          <t>-</t>
        </is>
      </c>
      <c r="I10" s="197" t="inlineStr">
        <is>
          <t>-</t>
        </is>
      </c>
      <c r="J10" s="197" t="inlineStr">
        <is>
          <t>-</t>
        </is>
      </c>
      <c r="K10" s="197" t="inlineStr">
        <is>
          <t>-</t>
        </is>
      </c>
      <c r="L10" s="197" t="inlineStr">
        <is>
          <t>-</t>
        </is>
      </c>
      <c r="M10" s="193" t="inlineStr">
        <is>
          <t>-</t>
        </is>
      </c>
      <c r="N10" s="193" t="inlineStr">
        <is>
          <t>-</t>
        </is>
      </c>
      <c r="O10" s="193" t="inlineStr">
        <is>
          <t>-</t>
        </is>
      </c>
      <c r="P10" s="193" t="inlineStr">
        <is>
          <t>-</t>
        </is>
      </c>
      <c r="Q10" s="193" t="inlineStr">
        <is>
          <t>-</t>
        </is>
      </c>
      <c r="R10" s="193" t="inlineStr">
        <is>
          <t>-</t>
        </is>
      </c>
      <c r="S10" s="193" t="inlineStr">
        <is>
          <t>-</t>
        </is>
      </c>
      <c r="T10" s="200" t="inlineStr">
        <is>
          <t>-</t>
        </is>
      </c>
      <c r="U10" s="197" t="inlineStr">
        <is>
          <t>-</t>
        </is>
      </c>
      <c r="V10" s="197" t="inlineStr">
        <is>
          <t>-</t>
        </is>
      </c>
    </row>
    <row r="11" ht="15.75" customHeight="1" thickBot="1">
      <c r="B11" s="26" t="inlineStr">
        <is>
          <t>M - 04</t>
        </is>
      </c>
      <c r="C11" s="192" t="inlineStr">
        <is>
          <t>V-292</t>
        </is>
      </c>
      <c r="D11" s="192" t="n">
        <v>900</v>
      </c>
      <c r="E11" s="192" t="n">
        <v>731946</v>
      </c>
      <c r="F11" s="192" t="n">
        <v>9068537</v>
      </c>
      <c r="G11" s="472" t="n">
        <v>5730</v>
      </c>
      <c r="H11" s="473" t="n">
        <v>2865</v>
      </c>
      <c r="I11" s="197" t="inlineStr">
        <is>
          <t>6.9</t>
        </is>
      </c>
      <c r="J11" s="197" t="inlineStr">
        <is>
          <t>25.6</t>
        </is>
      </c>
      <c r="K11" s="197" t="n">
        <v>1.52</v>
      </c>
      <c r="L11" s="197" t="inlineStr">
        <is>
          <t>1.7</t>
        </is>
      </c>
      <c r="M11" s="194" t="n"/>
      <c r="N11" s="194" t="n"/>
      <c r="O11" s="194" t="n"/>
      <c r="P11" s="194" t="n"/>
      <c r="Q11" s="194" t="n"/>
      <c r="R11" s="194" t="n"/>
      <c r="S11" s="194" t="n"/>
      <c r="T11" s="199" t="inlineStr">
        <is>
          <t>+</t>
        </is>
      </c>
      <c r="U11" s="199" t="inlineStr">
        <is>
          <t>+</t>
        </is>
      </c>
      <c r="V11" s="199" t="inlineStr">
        <is>
          <t>+</t>
        </is>
      </c>
    </row>
    <row r="12" ht="15.75" customHeight="1" thickBot="1">
      <c r="B12" s="26" t="inlineStr">
        <is>
          <t>M - 05</t>
        </is>
      </c>
      <c r="C12" s="192" t="inlineStr">
        <is>
          <t>V-272</t>
        </is>
      </c>
      <c r="D12" s="192" t="n">
        <v>1778</v>
      </c>
      <c r="E12" s="192" t="n">
        <v>732609</v>
      </c>
      <c r="F12" s="196" t="n">
        <v>9067589</v>
      </c>
      <c r="G12" s="472" t="n">
        <v>2860</v>
      </c>
      <c r="H12" s="473" t="n">
        <v>1430</v>
      </c>
      <c r="I12" s="197" t="inlineStr">
        <is>
          <t>7.9</t>
        </is>
      </c>
      <c r="J12" s="197" t="inlineStr">
        <is>
          <t>22.2</t>
        </is>
      </c>
      <c r="K12" s="197" t="n">
        <v>5.6</v>
      </c>
      <c r="L12" s="197" t="n">
        <v>2.2</v>
      </c>
      <c r="M12" s="194" t="n"/>
      <c r="N12" s="194" t="n"/>
      <c r="O12" s="194" t="n"/>
      <c r="P12" s="194" t="n"/>
      <c r="Q12" s="194" t="n"/>
      <c r="R12" s="194" t="n"/>
      <c r="S12" s="194" t="n"/>
      <c r="T12" s="199" t="inlineStr">
        <is>
          <t>+</t>
        </is>
      </c>
      <c r="U12" s="199" t="inlineStr">
        <is>
          <t>+</t>
        </is>
      </c>
      <c r="V12" s="199" t="inlineStr">
        <is>
          <t>+</t>
        </is>
      </c>
    </row>
    <row r="13" ht="15.75" customHeight="1" thickBot="1">
      <c r="B13" s="26" t="inlineStr">
        <is>
          <t>M - 06</t>
        </is>
      </c>
      <c r="C13" s="192" t="inlineStr">
        <is>
          <t>V-312A</t>
        </is>
      </c>
      <c r="D13" s="192" t="n">
        <v>872</v>
      </c>
      <c r="E13" s="192" t="n">
        <v>733666</v>
      </c>
      <c r="F13" s="196" t="n">
        <v>9067918</v>
      </c>
      <c r="G13" s="472" t="n">
        <v>1875</v>
      </c>
      <c r="H13" s="473" t="n">
        <v>937</v>
      </c>
      <c r="I13" s="197" t="inlineStr">
        <is>
          <t>7.3</t>
        </is>
      </c>
      <c r="J13" s="197" t="inlineStr">
        <is>
          <t>23.2</t>
        </is>
      </c>
      <c r="K13" s="197" t="n">
        <v>1.32</v>
      </c>
      <c r="L13" s="197" t="inlineStr">
        <is>
          <t>1.3</t>
        </is>
      </c>
      <c r="M13" s="194" t="n"/>
      <c r="N13" s="194" t="n"/>
      <c r="O13" s="194" t="n"/>
      <c r="P13" s="194" t="n"/>
      <c r="Q13" s="194" t="n"/>
      <c r="R13" s="194" t="n"/>
      <c r="S13" s="194" t="n"/>
      <c r="T13" s="218" t="n">
        <v>150</v>
      </c>
      <c r="U13" s="199" t="n">
        <v>0</v>
      </c>
      <c r="V13" s="199" t="n">
        <v>0</v>
      </c>
    </row>
    <row r="14" ht="15.75" customHeight="1" thickBot="1">
      <c r="B14" s="26" t="inlineStr">
        <is>
          <t>M - 07</t>
        </is>
      </c>
      <c r="C14" s="192" t="inlineStr">
        <is>
          <t>V-310C</t>
        </is>
      </c>
      <c r="D14" s="192" t="n">
        <v>895</v>
      </c>
      <c r="E14" s="192" t="n">
        <v>731720</v>
      </c>
      <c r="F14" s="192" t="n">
        <v>9066110</v>
      </c>
      <c r="G14" s="472" t="n">
        <v>11120</v>
      </c>
      <c r="H14" s="473" t="n">
        <v>5560</v>
      </c>
      <c r="I14" s="197" t="inlineStr">
        <is>
          <t>7.1</t>
        </is>
      </c>
      <c r="J14" s="197" t="inlineStr">
        <is>
          <t>21.7</t>
        </is>
      </c>
      <c r="K14" s="197" t="n">
        <v>2.52</v>
      </c>
      <c r="L14" s="197" t="inlineStr">
        <is>
          <t>1.7</t>
        </is>
      </c>
      <c r="M14" s="194" t="n"/>
      <c r="N14" s="194" t="n"/>
      <c r="O14" s="194" t="n"/>
      <c r="P14" s="194" t="n"/>
      <c r="Q14" s="194" t="n"/>
      <c r="R14" s="194" t="n"/>
      <c r="S14" s="194" t="n"/>
      <c r="T14" s="199" t="inlineStr">
        <is>
          <t>+</t>
        </is>
      </c>
      <c r="U14" s="199" t="inlineStr">
        <is>
          <t>+</t>
        </is>
      </c>
      <c r="V14" s="199" t="inlineStr">
        <is>
          <t>+</t>
        </is>
      </c>
    </row>
    <row r="15" ht="15.75" customHeight="1" thickBot="1">
      <c r="B15" s="26" t="inlineStr">
        <is>
          <t>M - 08</t>
        </is>
      </c>
      <c r="C15" s="192" t="inlineStr">
        <is>
          <t>V-311F</t>
        </is>
      </c>
      <c r="D15" s="192" t="n"/>
      <c r="E15" s="192" t="n">
        <v>731773</v>
      </c>
      <c r="F15" s="192" t="n">
        <v>9064864</v>
      </c>
      <c r="G15" s="472" t="n">
        <v>1830</v>
      </c>
      <c r="H15" s="473" t="n">
        <v>915</v>
      </c>
      <c r="I15" s="197" t="inlineStr">
        <is>
          <t>6.9</t>
        </is>
      </c>
      <c r="J15" s="197" t="inlineStr">
        <is>
          <t>19.9</t>
        </is>
      </c>
      <c r="K15" s="197" t="n">
        <v>2.49</v>
      </c>
      <c r="L15" s="197" t="n">
        <v>1.5</v>
      </c>
      <c r="M15" s="194" t="n"/>
      <c r="N15" s="194" t="n"/>
      <c r="O15" s="194" t="n"/>
      <c r="P15" s="194" t="n"/>
      <c r="Q15" s="194" t="n"/>
      <c r="R15" s="194" t="n"/>
      <c r="S15" s="194" t="n"/>
      <c r="T15" s="218" t="n">
        <v>60</v>
      </c>
      <c r="U15" s="218" t="n">
        <v>15</v>
      </c>
      <c r="V15" s="218" t="n">
        <v>5</v>
      </c>
    </row>
    <row r="16" ht="15.75" customHeight="1" thickBot="1">
      <c r="B16" s="26" t="inlineStr">
        <is>
          <t>M - 09</t>
        </is>
      </c>
      <c r="C16" s="192" t="inlineStr">
        <is>
          <t>V-231</t>
        </is>
      </c>
      <c r="D16" s="192" t="n">
        <v>677</v>
      </c>
      <c r="E16" s="192" t="n">
        <v>732786</v>
      </c>
      <c r="F16" s="192" t="n">
        <v>9065731</v>
      </c>
      <c r="G16" s="473" t="n">
        <v>894</v>
      </c>
      <c r="H16" s="473" t="n">
        <v>447</v>
      </c>
      <c r="I16" s="197" t="inlineStr">
        <is>
          <t>7.9</t>
        </is>
      </c>
      <c r="J16" s="197" t="inlineStr">
        <is>
          <t>21.2</t>
        </is>
      </c>
      <c r="K16" s="197" t="n">
        <v>0.97</v>
      </c>
      <c r="L16" s="197" t="n">
        <v>1.8</v>
      </c>
      <c r="M16" s="194" t="n"/>
      <c r="N16" s="194" t="n"/>
      <c r="O16" s="194" t="n"/>
      <c r="P16" s="194" t="n"/>
      <c r="Q16" s="194" t="n"/>
      <c r="R16" s="194" t="n"/>
      <c r="S16" s="194" t="n"/>
      <c r="T16" s="218" t="n">
        <v>10</v>
      </c>
      <c r="U16" s="218" t="n">
        <v>15</v>
      </c>
      <c r="V16" s="199" t="n">
        <v>0</v>
      </c>
    </row>
    <row r="17" ht="15.75" customHeight="1" thickBot="1">
      <c r="B17" s="26" t="inlineStr">
        <is>
          <t>M - 10</t>
        </is>
      </c>
      <c r="C17" s="192" t="inlineStr">
        <is>
          <t>V-11D</t>
        </is>
      </c>
      <c r="D17" s="192" t="n"/>
      <c r="E17" s="192" t="n">
        <v>732614</v>
      </c>
      <c r="F17" s="192" t="n">
        <v>9063168</v>
      </c>
      <c r="G17" s="473" t="n">
        <v>1371</v>
      </c>
      <c r="H17" s="473" t="n">
        <v>685</v>
      </c>
      <c r="I17" s="197" t="inlineStr">
        <is>
          <t>7.8</t>
        </is>
      </c>
      <c r="J17" s="197" t="inlineStr">
        <is>
          <t>24.7</t>
        </is>
      </c>
      <c r="K17" s="197" t="n">
        <v>2.33</v>
      </c>
      <c r="L17" s="197" t="n">
        <v>3.1</v>
      </c>
      <c r="M17" s="194" t="n"/>
      <c r="N17" s="194" t="n"/>
      <c r="O17" s="194" t="n"/>
      <c r="P17" s="194" t="n"/>
      <c r="Q17" s="194" t="n"/>
      <c r="R17" s="194" t="n"/>
      <c r="S17" s="194" t="n"/>
      <c r="T17" s="218" t="n">
        <v>100</v>
      </c>
      <c r="U17" s="218" t="n">
        <v>15</v>
      </c>
      <c r="V17" s="199" t="n">
        <v>0</v>
      </c>
    </row>
    <row r="18" ht="15.75" customHeight="1" thickBot="1">
      <c r="B18" s="26" t="inlineStr">
        <is>
          <t>M - 11</t>
        </is>
      </c>
      <c r="C18" s="192" t="inlineStr">
        <is>
          <t>V-2D</t>
        </is>
      </c>
      <c r="D18" s="192" t="n">
        <v>1832</v>
      </c>
      <c r="E18" s="192" t="n">
        <v>734153</v>
      </c>
      <c r="F18" s="192" t="n">
        <v>9061673</v>
      </c>
      <c r="G18" s="473" t="n">
        <v>1351</v>
      </c>
      <c r="H18" s="473" t="n">
        <v>675</v>
      </c>
      <c r="I18" s="197" t="inlineStr">
        <is>
          <t>7.3</t>
        </is>
      </c>
      <c r="J18" s="197" t="inlineStr">
        <is>
          <t>23.3</t>
        </is>
      </c>
      <c r="K18" s="197" t="n">
        <v>1.77</v>
      </c>
      <c r="L18" s="197" t="inlineStr">
        <is>
          <t>2.1</t>
        </is>
      </c>
      <c r="M18" s="194" t="n"/>
      <c r="N18" s="194" t="n"/>
      <c r="O18" s="194" t="n"/>
      <c r="P18" s="194" t="n"/>
      <c r="Q18" s="194" t="n"/>
      <c r="R18" s="194" t="n"/>
      <c r="S18" s="194" t="n"/>
      <c r="T18" s="218" t="n">
        <v>40</v>
      </c>
      <c r="U18" s="218" t="n">
        <v>30</v>
      </c>
      <c r="V18" s="199" t="n">
        <v>0</v>
      </c>
    </row>
    <row r="19" ht="15.75" customHeight="1" thickBot="1">
      <c r="B19" s="26" t="inlineStr">
        <is>
          <t>M - 12</t>
        </is>
      </c>
      <c r="C19" s="192" t="inlineStr">
        <is>
          <t>V-187A</t>
        </is>
      </c>
      <c r="D19" s="192" t="n"/>
      <c r="E19" s="192" t="n">
        <v>740888</v>
      </c>
      <c r="F19" s="192" t="n">
        <v>9066666</v>
      </c>
      <c r="G19" s="473" t="n">
        <v>1107</v>
      </c>
      <c r="H19" s="473" t="n">
        <v>553.5</v>
      </c>
      <c r="I19" s="197" t="n">
        <v>6.9</v>
      </c>
      <c r="J19" s="197" t="n">
        <v>24.2</v>
      </c>
      <c r="K19" s="197" t="n">
        <v>1.22</v>
      </c>
      <c r="L19" s="197" t="inlineStr">
        <is>
          <t>1.4</t>
        </is>
      </c>
      <c r="M19" s="194" t="n"/>
      <c r="N19" s="194" t="n"/>
      <c r="O19" s="194" t="n"/>
      <c r="P19" s="194" t="n"/>
      <c r="Q19" s="194" t="n"/>
      <c r="R19" s="194" t="n"/>
      <c r="S19" s="194" t="n"/>
      <c r="T19" s="199" t="inlineStr">
        <is>
          <t>+</t>
        </is>
      </c>
      <c r="U19" s="199" t="inlineStr">
        <is>
          <t>+</t>
        </is>
      </c>
      <c r="V19" s="199" t="inlineStr">
        <is>
          <t>+</t>
        </is>
      </c>
    </row>
    <row r="20" ht="15.75" customHeight="1" thickBot="1">
      <c r="B20" s="26" t="inlineStr">
        <is>
          <t>M - 13</t>
        </is>
      </c>
      <c r="C20" s="192" t="inlineStr">
        <is>
          <t>V-29</t>
        </is>
      </c>
      <c r="D20" s="192" t="n">
        <v>620</v>
      </c>
      <c r="E20" s="192" t="n">
        <v>736230</v>
      </c>
      <c r="F20" s="192" t="n">
        <v>9064359</v>
      </c>
      <c r="G20" s="473" t="n">
        <v>1242</v>
      </c>
      <c r="H20" s="473" t="n">
        <v>621</v>
      </c>
      <c r="I20" s="197" t="n">
        <v>7.6</v>
      </c>
      <c r="J20" s="197" t="n">
        <v>23.9</v>
      </c>
      <c r="K20" s="197" t="n">
        <v>0.44</v>
      </c>
      <c r="L20" s="197" t="n">
        <v>1.6</v>
      </c>
      <c r="M20" s="194" t="n"/>
      <c r="N20" s="194" t="n"/>
      <c r="O20" s="194" t="n"/>
      <c r="P20" s="194" t="n"/>
      <c r="Q20" s="194" t="n"/>
      <c r="R20" s="194" t="n"/>
      <c r="S20" s="194" t="n"/>
      <c r="T20" s="218" t="n">
        <v>20</v>
      </c>
      <c r="U20" s="218" t="n">
        <v>15</v>
      </c>
      <c r="V20" s="199" t="n">
        <v>0</v>
      </c>
    </row>
    <row r="21" ht="15.75" customHeight="1" thickBot="1">
      <c r="B21" s="26" t="inlineStr">
        <is>
          <t>M - 14</t>
        </is>
      </c>
      <c r="C21" s="192" t="inlineStr">
        <is>
          <t>V-42A</t>
        </is>
      </c>
      <c r="D21" s="192" t="n">
        <v>594</v>
      </c>
      <c r="E21" s="192" t="n">
        <v>735858</v>
      </c>
      <c r="F21" s="192" t="n">
        <v>9062526</v>
      </c>
      <c r="G21" s="473" t="n">
        <v>1271</v>
      </c>
      <c r="H21" s="473" t="n">
        <v>635</v>
      </c>
      <c r="I21" s="197" t="n">
        <v>7.4</v>
      </c>
      <c r="J21" s="197" t="n">
        <v>23.2</v>
      </c>
      <c r="K21" s="197" t="n">
        <v>4.18</v>
      </c>
      <c r="L21" s="197" t="inlineStr">
        <is>
          <t>1.8</t>
        </is>
      </c>
      <c r="M21" s="194" t="n"/>
      <c r="N21" s="194" t="n"/>
      <c r="O21" s="194" t="n"/>
      <c r="P21" s="194" t="n"/>
      <c r="Q21" s="194" t="n"/>
      <c r="R21" s="194" t="n"/>
      <c r="S21" s="194" t="n"/>
      <c r="T21" s="199" t="inlineStr">
        <is>
          <t>+</t>
        </is>
      </c>
      <c r="U21" s="199" t="inlineStr">
        <is>
          <t>+</t>
        </is>
      </c>
      <c r="V21" s="199" t="inlineStr">
        <is>
          <t>+</t>
        </is>
      </c>
    </row>
    <row r="22" ht="15.75" customHeight="1" thickBot="1">
      <c r="B22" s="26" t="inlineStr">
        <is>
          <t>M - 15</t>
        </is>
      </c>
      <c r="C22" s="192" t="inlineStr">
        <is>
          <t>V-12A</t>
        </is>
      </c>
      <c r="D22" s="192" t="n"/>
      <c r="E22" s="192" t="n">
        <v>734159</v>
      </c>
      <c r="F22" s="196" t="n">
        <v>9064251</v>
      </c>
      <c r="G22" s="472" t="n">
        <v>4320</v>
      </c>
      <c r="H22" s="473" t="n">
        <v>2160</v>
      </c>
      <c r="I22" s="197" t="n">
        <v>7.3</v>
      </c>
      <c r="J22" s="197" t="n">
        <v>21.6</v>
      </c>
      <c r="K22" s="197" t="n">
        <v>0.55</v>
      </c>
      <c r="L22" s="197" t="n">
        <v>1.5</v>
      </c>
      <c r="M22" s="194" t="n"/>
      <c r="N22" s="194" t="n"/>
      <c r="O22" s="194" t="n"/>
      <c r="P22" s="194" t="n"/>
      <c r="Q22" s="194" t="n"/>
      <c r="R22" s="194" t="n"/>
      <c r="S22" s="194" t="n"/>
      <c r="T22" s="199" t="inlineStr">
        <is>
          <t>+</t>
        </is>
      </c>
      <c r="U22" s="199" t="inlineStr">
        <is>
          <t>+</t>
        </is>
      </c>
      <c r="V22" s="199" t="inlineStr">
        <is>
          <t>+</t>
        </is>
      </c>
    </row>
    <row r="23" ht="15.75" customHeight="1" thickBot="1">
      <c r="B23" s="26" t="inlineStr">
        <is>
          <t>M - 16</t>
        </is>
      </c>
      <c r="C23" s="192" t="inlineStr">
        <is>
          <t>V-33B</t>
        </is>
      </c>
      <c r="D23" s="192" t="n">
        <v>690</v>
      </c>
      <c r="E23" s="192" t="n">
        <v>734617</v>
      </c>
      <c r="F23" s="192" t="n">
        <v>9066184</v>
      </c>
      <c r="G23" s="472" t="n">
        <v>1552</v>
      </c>
      <c r="H23" s="473" t="n">
        <v>785</v>
      </c>
      <c r="I23" s="197" t="n">
        <v>7.1</v>
      </c>
      <c r="J23" s="197" t="n">
        <v>21.4</v>
      </c>
      <c r="K23" s="197" t="n">
        <v>3.44</v>
      </c>
      <c r="L23" s="197" t="n">
        <v>1.8</v>
      </c>
      <c r="M23" s="194" t="n"/>
      <c r="N23" s="194" t="n"/>
      <c r="O23" s="194" t="n"/>
      <c r="P23" s="194" t="n"/>
      <c r="Q23" s="194" t="n"/>
      <c r="R23" s="194" t="n"/>
      <c r="S23" s="194" t="n"/>
      <c r="T23" s="218" t="n">
        <v>30</v>
      </c>
      <c r="U23" s="218" t="n">
        <v>10</v>
      </c>
      <c r="V23" s="199" t="n">
        <v>0</v>
      </c>
    </row>
    <row r="24" ht="15.75" customHeight="1" thickBot="1">
      <c r="B24" s="26" t="inlineStr">
        <is>
          <t>M - 17</t>
        </is>
      </c>
      <c r="C24" s="192" t="inlineStr">
        <is>
          <t>V-280B</t>
        </is>
      </c>
      <c r="D24" s="192" t="n">
        <v>706</v>
      </c>
      <c r="E24" s="192" t="n">
        <v>736355</v>
      </c>
      <c r="F24" s="192" t="n">
        <v>9066133</v>
      </c>
      <c r="G24" s="472" t="n">
        <v>1813</v>
      </c>
      <c r="H24" s="473" t="n">
        <v>910</v>
      </c>
      <c r="I24" s="197" t="n">
        <v>7.1</v>
      </c>
      <c r="J24" s="197" t="n">
        <v>24.5</v>
      </c>
      <c r="K24" s="197" t="n">
        <v>0.7</v>
      </c>
      <c r="L24" s="197" t="inlineStr">
        <is>
          <t>1.8</t>
        </is>
      </c>
      <c r="M24" s="194" t="n"/>
      <c r="N24" s="194" t="n"/>
      <c r="O24" s="194" t="n"/>
      <c r="P24" s="194" t="n"/>
      <c r="Q24" s="194" t="n"/>
      <c r="R24" s="194" t="n"/>
      <c r="S24" s="194" t="n"/>
      <c r="T24" s="199" t="inlineStr">
        <is>
          <t>+</t>
        </is>
      </c>
      <c r="U24" s="199" t="inlineStr">
        <is>
          <t>+</t>
        </is>
      </c>
      <c r="V24" s="199" t="inlineStr">
        <is>
          <t>+</t>
        </is>
      </c>
    </row>
    <row r="25" ht="15.75" customHeight="1" thickBot="1">
      <c r="B25" s="26" t="inlineStr">
        <is>
          <t>M - 18</t>
        </is>
      </c>
      <c r="C25" s="192" t="inlineStr">
        <is>
          <t>V-195</t>
        </is>
      </c>
      <c r="D25" s="192" t="n">
        <v>1152</v>
      </c>
      <c r="E25" s="192" t="n">
        <v>738617</v>
      </c>
      <c r="F25" s="192" t="n">
        <v>9065167</v>
      </c>
      <c r="G25" s="472" t="n">
        <v>1632</v>
      </c>
      <c r="H25" s="473" t="n">
        <v>816</v>
      </c>
      <c r="I25" s="197" t="n">
        <v>7.7</v>
      </c>
      <c r="J25" s="197" t="n">
        <v>23.3</v>
      </c>
      <c r="K25" s="197" t="n">
        <v>2.92</v>
      </c>
      <c r="L25" s="197" t="inlineStr">
        <is>
          <t>2.8</t>
        </is>
      </c>
      <c r="M25" s="194" t="n"/>
      <c r="N25" s="194" t="n"/>
      <c r="O25" s="194" t="n"/>
      <c r="P25" s="194" t="n"/>
      <c r="Q25" s="194" t="n"/>
      <c r="R25" s="194" t="n"/>
      <c r="S25" s="194" t="n"/>
      <c r="T25" s="218" t="n">
        <v>70</v>
      </c>
      <c r="U25" s="218" t="n">
        <v>10</v>
      </c>
      <c r="V25" s="218" t="n">
        <v>5</v>
      </c>
    </row>
    <row r="26" ht="15.75" customHeight="1" thickBot="1">
      <c r="B26" s="26" t="inlineStr">
        <is>
          <t>M - 19</t>
        </is>
      </c>
      <c r="C26" s="192" t="inlineStr">
        <is>
          <t>V-221C</t>
        </is>
      </c>
      <c r="D26" s="192" t="n">
        <v>493</v>
      </c>
      <c r="E26" s="192" t="n">
        <v>739039</v>
      </c>
      <c r="F26" s="192" t="n">
        <v>9067802</v>
      </c>
      <c r="G26" s="472" t="n">
        <v>1593</v>
      </c>
      <c r="H26" s="473" t="n">
        <v>796</v>
      </c>
      <c r="I26" s="197" t="n">
        <v>7.1</v>
      </c>
      <c r="J26" s="197" t="n">
        <v>22.4</v>
      </c>
      <c r="K26" s="197" t="n">
        <v>0.86</v>
      </c>
      <c r="L26" s="197" t="n">
        <v>2.3</v>
      </c>
      <c r="M26" s="194" t="n"/>
      <c r="N26" s="194" t="n"/>
      <c r="O26" s="194" t="n"/>
      <c r="P26" s="194" t="n"/>
      <c r="Q26" s="194" t="n"/>
      <c r="R26" s="194" t="n"/>
      <c r="S26" s="194" t="n"/>
      <c r="T26" s="218" t="n">
        <v>50</v>
      </c>
      <c r="U26" s="218" t="n">
        <v>15</v>
      </c>
      <c r="V26" s="218" t="n">
        <v>5</v>
      </c>
    </row>
    <row r="27" ht="15.75" customHeight="1" thickBot="1">
      <c r="B27" s="26" t="inlineStr">
        <is>
          <t>M - 20</t>
        </is>
      </c>
      <c r="C27" s="192" t="inlineStr">
        <is>
          <t>V-38A</t>
        </is>
      </c>
      <c r="D27" s="192" t="n"/>
      <c r="E27" s="192" t="n">
        <v>737750</v>
      </c>
      <c r="F27" s="192" t="n">
        <v>9066490</v>
      </c>
      <c r="G27" s="472" t="n">
        <v>1563</v>
      </c>
      <c r="H27" s="473" t="n">
        <v>781</v>
      </c>
      <c r="I27" s="197" t="n">
        <v>7.1</v>
      </c>
      <c r="J27" s="197" t="n">
        <v>22.4</v>
      </c>
      <c r="K27" s="197" t="n">
        <v>0.58</v>
      </c>
      <c r="L27" s="197" t="n">
        <v>4.9</v>
      </c>
      <c r="M27" s="194" t="n"/>
      <c r="N27" s="194" t="n"/>
      <c r="O27" s="194" t="n"/>
      <c r="P27" s="194" t="n"/>
      <c r="Q27" s="194" t="n"/>
      <c r="R27" s="194" t="n"/>
      <c r="S27" s="194" t="n"/>
      <c r="T27" s="199" t="inlineStr">
        <is>
          <t>+</t>
        </is>
      </c>
      <c r="U27" s="199" t="inlineStr">
        <is>
          <t>+</t>
        </is>
      </c>
      <c r="V27" s="199" t="inlineStr">
        <is>
          <t>+</t>
        </is>
      </c>
    </row>
    <row r="28" ht="15.75" customHeight="1" thickBot="1">
      <c r="B28" s="26" t="inlineStr">
        <is>
          <t>M - 21</t>
        </is>
      </c>
      <c r="C28" s="192" t="inlineStr">
        <is>
          <t>V-40</t>
        </is>
      </c>
      <c r="D28" s="192" t="n">
        <v>724</v>
      </c>
      <c r="E28" s="192" t="n">
        <v>736452</v>
      </c>
      <c r="F28" s="192" t="n">
        <v>9067013</v>
      </c>
      <c r="G28" s="472" t="n">
        <v>1737</v>
      </c>
      <c r="H28" s="473" t="n">
        <v>815</v>
      </c>
      <c r="I28" s="197" t="n">
        <v>7.4</v>
      </c>
      <c r="J28" s="197" t="n">
        <v>22.7</v>
      </c>
      <c r="K28" s="197" t="n">
        <v>5.59</v>
      </c>
      <c r="L28" s="197" t="inlineStr">
        <is>
          <t>1.3</t>
        </is>
      </c>
      <c r="M28" s="194" t="n"/>
      <c r="N28" s="194" t="n"/>
      <c r="O28" s="194" t="n"/>
      <c r="P28" s="194" t="n"/>
      <c r="Q28" s="194" t="n"/>
      <c r="R28" s="194" t="n"/>
      <c r="S28" s="194" t="n"/>
      <c r="T28" s="199" t="n">
        <v>0</v>
      </c>
      <c r="U28" s="218" t="n">
        <v>15</v>
      </c>
      <c r="V28" s="199" t="n">
        <v>0</v>
      </c>
    </row>
    <row r="29" ht="15.75" customHeight="1" thickBot="1">
      <c r="B29" s="26" t="inlineStr">
        <is>
          <t>M - 22</t>
        </is>
      </c>
      <c r="C29" s="192" t="inlineStr">
        <is>
          <t>V-281A</t>
        </is>
      </c>
      <c r="D29" s="192" t="n">
        <v>755</v>
      </c>
      <c r="E29" s="192" t="n">
        <v>734663</v>
      </c>
      <c r="F29" s="192" t="n">
        <v>9067616</v>
      </c>
      <c r="G29" s="473" t="n">
        <v>796</v>
      </c>
      <c r="H29" s="473" t="n">
        <v>343</v>
      </c>
      <c r="I29" s="197" t="n">
        <v>7.1</v>
      </c>
      <c r="J29" s="197" t="n">
        <v>19.7</v>
      </c>
      <c r="K29" s="197" t="n">
        <v>2.59</v>
      </c>
      <c r="L29" s="197" t="inlineStr">
        <is>
          <t>1.0</t>
        </is>
      </c>
      <c r="M29" s="194" t="n"/>
      <c r="N29" s="194" t="n"/>
      <c r="O29" s="194" t="n"/>
      <c r="P29" s="194" t="n"/>
      <c r="Q29" s="194" t="n"/>
      <c r="R29" s="194" t="n"/>
      <c r="S29" s="194" t="n"/>
      <c r="T29" s="199" t="inlineStr">
        <is>
          <t>+</t>
        </is>
      </c>
      <c r="U29" s="199" t="inlineStr">
        <is>
          <t>+</t>
        </is>
      </c>
      <c r="V29" s="199" t="inlineStr">
        <is>
          <t>+</t>
        </is>
      </c>
    </row>
    <row r="30" ht="15.75" customHeight="1" thickBot="1">
      <c r="B30" s="26" t="inlineStr">
        <is>
          <t>M - 23</t>
        </is>
      </c>
      <c r="C30" s="192" t="inlineStr">
        <is>
          <t>V-232A</t>
        </is>
      </c>
      <c r="D30" s="192" t="n">
        <v>765</v>
      </c>
      <c r="E30" s="192" t="n">
        <v>735518</v>
      </c>
      <c r="F30" s="192" t="n">
        <v>9068270</v>
      </c>
      <c r="G30" s="472" t="n">
        <v>1574</v>
      </c>
      <c r="H30" s="473" t="n">
        <v>732</v>
      </c>
      <c r="I30" s="197" t="n">
        <v>7.2</v>
      </c>
      <c r="J30" s="197" t="n">
        <v>23.4</v>
      </c>
      <c r="K30" s="197" t="n">
        <v>5.18</v>
      </c>
      <c r="L30" s="197" t="inlineStr">
        <is>
          <t>5.5</t>
        </is>
      </c>
      <c r="M30" s="194" t="n"/>
      <c r="N30" s="194" t="n"/>
      <c r="O30" s="194" t="n"/>
      <c r="P30" s="194" t="n"/>
      <c r="Q30" s="194" t="n"/>
      <c r="R30" s="194" t="n"/>
      <c r="S30" s="194" t="n"/>
      <c r="T30" s="218" t="n">
        <v>200</v>
      </c>
      <c r="U30" s="199" t="n">
        <v>0</v>
      </c>
      <c r="V30" s="199" t="n">
        <v>0</v>
      </c>
    </row>
    <row r="31" ht="15.75" customHeight="1" thickBot="1">
      <c r="B31" s="26" t="inlineStr">
        <is>
          <t>M - 24</t>
        </is>
      </c>
      <c r="C31" s="192" t="inlineStr">
        <is>
          <t>V-274B</t>
        </is>
      </c>
      <c r="D31" s="192" t="n">
        <v>1754</v>
      </c>
      <c r="E31" s="192" t="n">
        <v>734282</v>
      </c>
      <c r="F31" s="192" t="n">
        <v>9069031</v>
      </c>
      <c r="G31" s="473" t="n">
        <v>681</v>
      </c>
      <c r="H31" s="473" t="n">
        <v>340</v>
      </c>
      <c r="I31" s="197" t="n">
        <v>7.5</v>
      </c>
      <c r="J31" s="197" t="n">
        <v>24.7</v>
      </c>
      <c r="K31" s="197" t="n">
        <v>0.9399999999999999</v>
      </c>
      <c r="L31" s="197" t="n">
        <v>2</v>
      </c>
      <c r="M31" s="194" t="n"/>
      <c r="N31" s="194" t="n"/>
      <c r="O31" s="194" t="n"/>
      <c r="P31" s="194" t="n"/>
      <c r="Q31" s="194" t="n"/>
      <c r="R31" s="194" t="n"/>
      <c r="S31" s="194" t="n"/>
      <c r="T31" s="199" t="inlineStr">
        <is>
          <t>+</t>
        </is>
      </c>
      <c r="U31" s="199" t="inlineStr">
        <is>
          <t>+</t>
        </is>
      </c>
      <c r="V31" s="199" t="inlineStr">
        <is>
          <t>+</t>
        </is>
      </c>
    </row>
    <row r="32" ht="15.75" customHeight="1" thickBot="1">
      <c r="B32" s="26" t="inlineStr">
        <is>
          <t>M - 25</t>
        </is>
      </c>
      <c r="C32" s="192" t="inlineStr">
        <is>
          <t>V-245A</t>
        </is>
      </c>
      <c r="D32" s="192" t="n">
        <v>813</v>
      </c>
      <c r="E32" s="192" t="n">
        <v>735901</v>
      </c>
      <c r="F32" s="192" t="n">
        <v>9069096</v>
      </c>
      <c r="G32" s="473" t="n">
        <v>1046</v>
      </c>
      <c r="H32" s="473" t="n">
        <v>523</v>
      </c>
      <c r="I32" s="197" t="n">
        <v>7.1</v>
      </c>
      <c r="J32" s="197" t="n">
        <v>24</v>
      </c>
      <c r="K32" s="197" t="n">
        <v>1.69</v>
      </c>
      <c r="L32" s="197" t="n">
        <v>1.9</v>
      </c>
      <c r="M32" s="194" t="n"/>
      <c r="N32" s="194" t="n"/>
      <c r="O32" s="194" t="n"/>
      <c r="P32" s="194" t="n"/>
      <c r="Q32" s="194" t="n"/>
      <c r="R32" s="194" t="n"/>
      <c r="S32" s="194" t="n"/>
      <c r="T32" s="218" t="n">
        <v>530</v>
      </c>
      <c r="U32" s="199" t="n">
        <v>0</v>
      </c>
      <c r="V32" s="199" t="n">
        <v>0</v>
      </c>
    </row>
    <row r="33" ht="15.75" customHeight="1" thickBot="1">
      <c r="B33" s="26" t="inlineStr">
        <is>
          <t>M - 26</t>
        </is>
      </c>
      <c r="C33" s="192" t="inlineStr">
        <is>
          <t>V-243E</t>
        </is>
      </c>
      <c r="D33" s="192" t="n"/>
      <c r="E33" s="192" t="n">
        <v>732495</v>
      </c>
      <c r="F33" s="192" t="n">
        <v>9069185</v>
      </c>
      <c r="G33" s="473" t="n">
        <v>973</v>
      </c>
      <c r="H33" s="473" t="n">
        <v>431</v>
      </c>
      <c r="I33" s="197" t="n">
        <v>7.8</v>
      </c>
      <c r="J33" s="197" t="n">
        <v>23.7</v>
      </c>
      <c r="K33" s="197" t="n">
        <v>4.34</v>
      </c>
      <c r="L33" s="197" t="n">
        <v>3.5</v>
      </c>
      <c r="M33" s="194" t="n"/>
      <c r="N33" s="194" t="n"/>
      <c r="O33" s="194" t="n"/>
      <c r="P33" s="194" t="n"/>
      <c r="Q33" s="194" t="n"/>
      <c r="R33" s="194" t="n"/>
      <c r="S33" s="194" t="n"/>
      <c r="T33" s="218" t="n">
        <v>10</v>
      </c>
      <c r="U33" s="218" t="n">
        <v>25</v>
      </c>
      <c r="V33" s="199" t="n">
        <v>0</v>
      </c>
    </row>
    <row r="34" ht="15.75" customHeight="1" thickBot="1">
      <c r="B34" s="26" t="inlineStr">
        <is>
          <t>M - 27</t>
        </is>
      </c>
      <c r="C34" s="192" t="inlineStr">
        <is>
          <t>V-288A</t>
        </is>
      </c>
      <c r="D34" s="192" t="n">
        <v>802</v>
      </c>
      <c r="E34" s="192" t="n">
        <v>737449</v>
      </c>
      <c r="F34" s="192" t="n">
        <v>9068185</v>
      </c>
      <c r="G34" s="473" t="n">
        <v>1482</v>
      </c>
      <c r="H34" s="473" t="n">
        <v>741</v>
      </c>
      <c r="I34" s="197" t="n">
        <v>7.1</v>
      </c>
      <c r="J34" s="197" t="n">
        <v>24</v>
      </c>
      <c r="K34" s="197" t="n">
        <v>2.9</v>
      </c>
      <c r="L34" s="197" t="n">
        <v>2.4</v>
      </c>
      <c r="M34" s="194" t="n"/>
      <c r="N34" s="194" t="n"/>
      <c r="O34" s="194" t="n"/>
      <c r="P34" s="194" t="n"/>
      <c r="Q34" s="194" t="n"/>
      <c r="R34" s="194" t="n"/>
      <c r="S34" s="194" t="n"/>
      <c r="T34" s="199" t="inlineStr">
        <is>
          <t>+</t>
        </is>
      </c>
      <c r="U34" s="199" t="inlineStr">
        <is>
          <t>+</t>
        </is>
      </c>
      <c r="V34" s="199" t="inlineStr">
        <is>
          <t>+</t>
        </is>
      </c>
    </row>
    <row r="35" ht="15.75" customHeight="1" thickBot="1">
      <c r="B35" s="26" t="inlineStr">
        <is>
          <t>M - 28</t>
        </is>
      </c>
      <c r="C35" s="192" t="inlineStr">
        <is>
          <t>V-285E</t>
        </is>
      </c>
      <c r="D35" s="192" t="n">
        <v>838</v>
      </c>
      <c r="E35" s="192" t="n">
        <v>739123</v>
      </c>
      <c r="F35" s="192" t="n">
        <v>9069253</v>
      </c>
      <c r="G35" s="473" t="n">
        <v>988</v>
      </c>
      <c r="H35" s="473" t="n">
        <v>494</v>
      </c>
      <c r="I35" s="197" t="n">
        <v>7.1</v>
      </c>
      <c r="J35" s="197" t="n">
        <v>22.5</v>
      </c>
      <c r="K35" s="197" t="n">
        <v>2.21</v>
      </c>
      <c r="L35" s="197" t="n">
        <v>3.6</v>
      </c>
      <c r="M35" s="194" t="n"/>
      <c r="N35" s="194" t="n"/>
      <c r="O35" s="194" t="n"/>
      <c r="P35" s="194" t="n"/>
      <c r="Q35" s="194" t="n"/>
      <c r="R35" s="194" t="n"/>
      <c r="S35" s="194" t="n"/>
      <c r="T35" s="218" t="n">
        <v>680</v>
      </c>
      <c r="U35" s="199" t="n">
        <v>0</v>
      </c>
      <c r="V35" s="199" t="n">
        <v>0</v>
      </c>
    </row>
    <row r="36" ht="15.75" customHeight="1" thickBot="1">
      <c r="B36" s="26" t="inlineStr">
        <is>
          <t>M - 29</t>
        </is>
      </c>
      <c r="C36" s="192" t="inlineStr">
        <is>
          <t>V-234C</t>
        </is>
      </c>
      <c r="D36" s="192" t="n">
        <v>1798</v>
      </c>
      <c r="E36" s="192" t="n">
        <v>740612</v>
      </c>
      <c r="F36" s="192" t="n">
        <v>9068552</v>
      </c>
      <c r="G36" s="473" t="n">
        <v>558</v>
      </c>
      <c r="H36" s="473" t="n">
        <v>279</v>
      </c>
      <c r="I36" s="197" t="n">
        <v>7.8</v>
      </c>
      <c r="J36" s="197" t="n">
        <v>21</v>
      </c>
      <c r="K36" s="197" t="n">
        <v>16</v>
      </c>
      <c r="L36" s="197" t="n">
        <v>2.5</v>
      </c>
      <c r="M36" s="194" t="n"/>
      <c r="N36" s="194" t="n"/>
      <c r="O36" s="194" t="n"/>
      <c r="P36" s="194" t="n"/>
      <c r="Q36" s="194" t="n"/>
      <c r="R36" s="194" t="n"/>
      <c r="S36" s="194" t="n"/>
      <c r="T36" s="218" t="n">
        <v>180</v>
      </c>
      <c r="U36" s="199" t="n">
        <v>0</v>
      </c>
      <c r="V36" s="199" t="n">
        <v>0</v>
      </c>
    </row>
    <row r="37" ht="15.75" customHeight="1" thickBot="1">
      <c r="B37" s="26" t="inlineStr">
        <is>
          <t>M - 30</t>
        </is>
      </c>
      <c r="C37" s="192" t="inlineStr">
        <is>
          <t>V-103B</t>
        </is>
      </c>
      <c r="D37" s="192" t="n">
        <v>1822</v>
      </c>
      <c r="E37" s="192" t="n">
        <v>742265</v>
      </c>
      <c r="F37" s="196" t="n">
        <v>9070144</v>
      </c>
      <c r="G37" s="472" t="n">
        <v>3950</v>
      </c>
      <c r="H37" s="473" t="n">
        <v>1975</v>
      </c>
      <c r="I37" s="197" t="n">
        <v>6.8</v>
      </c>
      <c r="J37" s="197" t="n">
        <v>22.4</v>
      </c>
      <c r="K37" s="197" t="n">
        <v>3.52</v>
      </c>
      <c r="L37" s="197" t="inlineStr">
        <is>
          <t>4.4</t>
        </is>
      </c>
      <c r="M37" s="194" t="n"/>
      <c r="N37" s="194" t="n"/>
      <c r="O37" s="194" t="n"/>
      <c r="P37" s="194" t="n"/>
      <c r="Q37" s="194" t="n"/>
      <c r="R37" s="194" t="n"/>
      <c r="S37" s="194" t="n"/>
      <c r="T37" s="199" t="inlineStr">
        <is>
          <t>+</t>
        </is>
      </c>
      <c r="U37" s="199" t="inlineStr">
        <is>
          <t>+</t>
        </is>
      </c>
      <c r="V37" s="199" t="inlineStr">
        <is>
          <t>+</t>
        </is>
      </c>
    </row>
    <row r="38" ht="15.75" customHeight="1" thickBot="1">
      <c r="B38" s="26" t="inlineStr">
        <is>
          <t>M - 31</t>
        </is>
      </c>
      <c r="C38" s="192" t="inlineStr">
        <is>
          <t>V-94</t>
        </is>
      </c>
      <c r="D38" s="192" t="n">
        <v>169</v>
      </c>
      <c r="E38" s="192" t="n">
        <v>743957</v>
      </c>
      <c r="F38" s="192" t="n">
        <v>9069174</v>
      </c>
      <c r="G38" s="472" t="n">
        <v>1947</v>
      </c>
      <c r="H38" s="473" t="n">
        <v>973.5</v>
      </c>
      <c r="I38" s="197" t="n">
        <v>6.5</v>
      </c>
      <c r="J38" s="197" t="n">
        <v>23.1</v>
      </c>
      <c r="K38" s="197" t="n">
        <v>1.62</v>
      </c>
      <c r="L38" s="197" t="inlineStr">
        <is>
          <t>3.0</t>
        </is>
      </c>
      <c r="M38" s="194" t="n"/>
      <c r="N38" s="194" t="n"/>
      <c r="O38" s="194" t="n"/>
      <c r="P38" s="194" t="n"/>
      <c r="Q38" s="194" t="n"/>
      <c r="R38" s="194" t="n"/>
      <c r="S38" s="194" t="n"/>
      <c r="T38" s="218" t="n">
        <v>600</v>
      </c>
      <c r="U38" s="218" t="n">
        <v>10</v>
      </c>
      <c r="V38" s="199" t="n">
        <v>0</v>
      </c>
    </row>
    <row r="39" ht="15.75" customHeight="1" thickBot="1">
      <c r="B39" s="26" t="inlineStr">
        <is>
          <t>M - 32</t>
        </is>
      </c>
      <c r="C39" s="192" t="inlineStr">
        <is>
          <t>V-105B</t>
        </is>
      </c>
      <c r="D39" s="192" t="n">
        <v>155</v>
      </c>
      <c r="E39" s="192" t="n">
        <v>744571</v>
      </c>
      <c r="F39" s="192" t="n">
        <v>9070535</v>
      </c>
      <c r="G39" s="473" t="n">
        <v>716</v>
      </c>
      <c r="H39" s="473" t="n">
        <v>358</v>
      </c>
      <c r="I39" s="197" t="n">
        <v>6.4</v>
      </c>
      <c r="J39" s="197" t="n">
        <v>24.1</v>
      </c>
      <c r="K39" s="197" t="n">
        <v>3.3</v>
      </c>
      <c r="L39" s="197" t="inlineStr">
        <is>
          <t>1.0</t>
        </is>
      </c>
      <c r="M39" s="194" t="n"/>
      <c r="N39" s="194" t="n"/>
      <c r="O39" s="194" t="n"/>
      <c r="P39" s="194" t="n"/>
      <c r="Q39" s="194" t="n"/>
      <c r="R39" s="194" t="n"/>
      <c r="S39" s="194" t="n"/>
      <c r="T39" s="199" t="inlineStr">
        <is>
          <t>+</t>
        </is>
      </c>
      <c r="U39" s="199" t="inlineStr">
        <is>
          <t>+</t>
        </is>
      </c>
      <c r="V39" s="199" t="inlineStr">
        <is>
          <t>+</t>
        </is>
      </c>
    </row>
    <row r="40" ht="15.75" customHeight="1" thickBot="1">
      <c r="B40" s="26" t="inlineStr">
        <is>
          <t>M - 33</t>
        </is>
      </c>
      <c r="C40" s="192" t="inlineStr">
        <is>
          <t>V-106</t>
        </is>
      </c>
      <c r="D40" s="192" t="n">
        <v>1640</v>
      </c>
      <c r="E40" s="192" t="n">
        <v>746692</v>
      </c>
      <c r="F40" s="192" t="n">
        <v>9070150</v>
      </c>
      <c r="G40" s="473" t="n">
        <v>779</v>
      </c>
      <c r="H40" s="473" t="n">
        <v>389</v>
      </c>
      <c r="I40" s="197" t="n">
        <v>6.5</v>
      </c>
      <c r="J40" s="197" t="n">
        <v>23.8</v>
      </c>
      <c r="K40" s="197" t="n">
        <v>3.14</v>
      </c>
      <c r="L40" s="197" t="inlineStr">
        <is>
          <t>1.1</t>
        </is>
      </c>
      <c r="M40" s="194" t="n"/>
      <c r="N40" s="194" t="n"/>
      <c r="O40" s="194" t="n"/>
      <c r="P40" s="194" t="n"/>
      <c r="Q40" s="194" t="n"/>
      <c r="R40" s="194" t="n"/>
      <c r="S40" s="194" t="n"/>
      <c r="T40" s="218" t="n">
        <v>5</v>
      </c>
      <c r="U40" s="218" t="n">
        <v>10</v>
      </c>
      <c r="V40" s="199" t="n">
        <v>0</v>
      </c>
    </row>
    <row r="41" ht="15.75" customHeight="1" thickBot="1">
      <c r="B41" s="26" t="inlineStr">
        <is>
          <t>M - 34</t>
        </is>
      </c>
      <c r="C41" s="192" t="inlineStr">
        <is>
          <t>V-84A</t>
        </is>
      </c>
      <c r="D41" s="192" t="n">
        <v>236</v>
      </c>
      <c r="E41" s="192" t="n">
        <v>745201</v>
      </c>
      <c r="F41" s="192" t="n">
        <v>9068784</v>
      </c>
      <c r="G41" s="473" t="n">
        <v>733</v>
      </c>
      <c r="H41" s="473" t="n">
        <v>337</v>
      </c>
      <c r="I41" s="197" t="n">
        <v>6.7</v>
      </c>
      <c r="J41" s="197" t="n">
        <v>24.7</v>
      </c>
      <c r="K41" s="197" t="n">
        <v>4.29</v>
      </c>
      <c r="L41" s="197" t="inlineStr">
        <is>
          <t>1.3</t>
        </is>
      </c>
      <c r="M41" s="194" t="n"/>
      <c r="N41" s="194" t="n"/>
      <c r="O41" s="194" t="n"/>
      <c r="P41" s="194" t="n"/>
      <c r="Q41" s="194" t="n"/>
      <c r="R41" s="194" t="n"/>
      <c r="S41" s="194" t="n"/>
      <c r="T41" s="218" t="n">
        <v>45</v>
      </c>
      <c r="U41" s="199" t="n">
        <v>0</v>
      </c>
      <c r="V41" s="199" t="n">
        <v>0</v>
      </c>
    </row>
    <row r="42" ht="15.75" customHeight="1" thickBot="1">
      <c r="B42" s="26" t="inlineStr">
        <is>
          <t>M - 35</t>
        </is>
      </c>
      <c r="C42" s="192" t="inlineStr">
        <is>
          <t>V-47</t>
        </is>
      </c>
      <c r="D42" s="192" t="n">
        <v>281</v>
      </c>
      <c r="E42" s="192" t="n">
        <v>750110</v>
      </c>
      <c r="F42" s="192" t="n">
        <v>9070045</v>
      </c>
      <c r="G42" s="473" t="n">
        <v>844</v>
      </c>
      <c r="H42" s="473" t="n">
        <v>422</v>
      </c>
      <c r="I42" s="197" t="n">
        <v>6.6</v>
      </c>
      <c r="J42" s="197" t="n">
        <v>24.2</v>
      </c>
      <c r="K42" s="197" t="n">
        <v>2.77</v>
      </c>
      <c r="L42" s="197" t="inlineStr">
        <is>
          <t>1.1</t>
        </is>
      </c>
      <c r="M42" s="194" t="n"/>
      <c r="N42" s="194" t="n"/>
      <c r="O42" s="194" t="n"/>
      <c r="P42" s="194" t="n"/>
      <c r="Q42" s="194" t="n"/>
      <c r="R42" s="194" t="n"/>
      <c r="S42" s="194" t="n"/>
      <c r="T42" s="218" t="n">
        <v>110</v>
      </c>
      <c r="U42" s="218" t="n">
        <v>10</v>
      </c>
      <c r="V42" s="218" t="n">
        <v>10</v>
      </c>
    </row>
    <row r="43" ht="15.75" customHeight="1" thickBot="1">
      <c r="B43" s="26" t="inlineStr">
        <is>
          <t>M - 36</t>
        </is>
      </c>
      <c r="C43" s="192" t="inlineStr">
        <is>
          <t>V-47C</t>
        </is>
      </c>
      <c r="D43" s="192" t="n">
        <v>174</v>
      </c>
      <c r="E43" s="192" t="n">
        <v>749359</v>
      </c>
      <c r="F43" s="192" t="n">
        <v>9070864</v>
      </c>
      <c r="G43" s="473" t="n">
        <v>647</v>
      </c>
      <c r="H43" s="473" t="n">
        <v>324</v>
      </c>
      <c r="I43" s="197" t="n">
        <v>6.7</v>
      </c>
      <c r="J43" s="197" t="n">
        <v>22.5</v>
      </c>
      <c r="K43" s="197" t="n">
        <v>2.45</v>
      </c>
      <c r="L43" s="197" t="inlineStr">
        <is>
          <t>1.5</t>
        </is>
      </c>
      <c r="M43" s="194" t="n"/>
      <c r="N43" s="194" t="n"/>
      <c r="O43" s="194" t="n"/>
      <c r="P43" s="194" t="n"/>
      <c r="Q43" s="194" t="n"/>
      <c r="R43" s="194" t="n"/>
      <c r="S43" s="194" t="n"/>
      <c r="T43" s="199" t="inlineStr">
        <is>
          <t>+</t>
        </is>
      </c>
      <c r="U43" s="199" t="inlineStr">
        <is>
          <t>+</t>
        </is>
      </c>
      <c r="V43" s="199" t="inlineStr">
        <is>
          <t>+</t>
        </is>
      </c>
    </row>
    <row r="44" ht="15.75" customHeight="1" thickBot="1">
      <c r="B44" s="26" t="inlineStr">
        <is>
          <t>M - 37</t>
        </is>
      </c>
      <c r="C44" s="192" t="inlineStr">
        <is>
          <t>V-129A</t>
        </is>
      </c>
      <c r="D44" s="192" t="n">
        <v>315</v>
      </c>
      <c r="E44" s="192" t="n">
        <v>747809</v>
      </c>
      <c r="F44" s="192" t="n">
        <v>9068943</v>
      </c>
      <c r="G44" s="473" t="n">
        <v>810</v>
      </c>
      <c r="H44" s="473" t="n">
        <v>405</v>
      </c>
      <c r="I44" s="197" t="n">
        <v>6.6</v>
      </c>
      <c r="J44" s="197" t="n">
        <v>24.3</v>
      </c>
      <c r="K44" s="197" t="n">
        <v>11.5</v>
      </c>
      <c r="L44" s="197" t="inlineStr">
        <is>
          <t>2.0</t>
        </is>
      </c>
      <c r="M44" s="194" t="n"/>
      <c r="N44" s="194" t="n"/>
      <c r="O44" s="194" t="n"/>
      <c r="P44" s="194" t="n"/>
      <c r="Q44" s="194" t="n"/>
      <c r="R44" s="194" t="n"/>
      <c r="S44" s="194" t="n"/>
      <c r="T44" s="218" t="n">
        <v>15</v>
      </c>
      <c r="U44" s="199" t="n">
        <v>0</v>
      </c>
      <c r="V44" s="199" t="n">
        <v>0</v>
      </c>
    </row>
    <row r="45" ht="15.75" customHeight="1" thickBot="1">
      <c r="B45" s="26" t="inlineStr">
        <is>
          <t>M - 38</t>
        </is>
      </c>
      <c r="C45" s="192" t="inlineStr">
        <is>
          <t>V-113B</t>
        </is>
      </c>
      <c r="D45" s="192" t="n">
        <v>296</v>
      </c>
      <c r="E45" s="192" t="n">
        <v>749429</v>
      </c>
      <c r="F45" s="192" t="n">
        <v>9068781</v>
      </c>
      <c r="G45" s="473" t="n">
        <v>916</v>
      </c>
      <c r="H45" s="473" t="n">
        <v>458</v>
      </c>
      <c r="I45" s="197" t="n">
        <v>6.8</v>
      </c>
      <c r="J45" s="197" t="n">
        <v>22.2</v>
      </c>
      <c r="K45" s="197" t="n">
        <v>2.53</v>
      </c>
      <c r="L45" s="197" t="inlineStr">
        <is>
          <t>3.4</t>
        </is>
      </c>
      <c r="M45" s="194" t="n"/>
      <c r="N45" s="194" t="n"/>
      <c r="O45" s="194" t="n"/>
      <c r="P45" s="194" t="n"/>
      <c r="Q45" s="194" t="n"/>
      <c r="R45" s="194" t="n"/>
      <c r="S45" s="194" t="n"/>
      <c r="T45" s="218" t="n">
        <v>600</v>
      </c>
      <c r="U45" s="218" t="n">
        <v>15</v>
      </c>
      <c r="V45" s="218" t="n">
        <v>15</v>
      </c>
    </row>
    <row r="46" ht="15.75" customHeight="1" thickBot="1">
      <c r="B46" s="26" t="inlineStr">
        <is>
          <t>M - 39</t>
        </is>
      </c>
      <c r="C46" s="192" t="inlineStr">
        <is>
          <t>V-65A</t>
        </is>
      </c>
      <c r="D46" s="192" t="n">
        <v>340</v>
      </c>
      <c r="E46" s="192" t="n">
        <v>747269</v>
      </c>
      <c r="F46" s="192" t="n">
        <v>9067737</v>
      </c>
      <c r="G46" s="473" t="inlineStr">
        <is>
          <t>-</t>
        </is>
      </c>
      <c r="H46" s="473" t="inlineStr">
        <is>
          <t>-</t>
        </is>
      </c>
      <c r="I46" s="197" t="inlineStr">
        <is>
          <t>-</t>
        </is>
      </c>
      <c r="J46" s="197" t="inlineStr">
        <is>
          <t>-</t>
        </is>
      </c>
      <c r="K46" s="197" t="n"/>
      <c r="L46" s="197" t="inlineStr">
        <is>
          <t>-</t>
        </is>
      </c>
      <c r="M46" s="193" t="inlineStr">
        <is>
          <t>-</t>
        </is>
      </c>
      <c r="N46" s="193" t="inlineStr">
        <is>
          <t>-</t>
        </is>
      </c>
      <c r="O46" s="193" t="inlineStr">
        <is>
          <t>-</t>
        </is>
      </c>
      <c r="P46" s="193" t="inlineStr">
        <is>
          <t>-</t>
        </is>
      </c>
      <c r="Q46" s="193" t="inlineStr">
        <is>
          <t>-</t>
        </is>
      </c>
      <c r="R46" s="193" t="inlineStr">
        <is>
          <t>-</t>
        </is>
      </c>
      <c r="S46" s="193" t="inlineStr">
        <is>
          <t>-</t>
        </is>
      </c>
      <c r="T46" s="199" t="inlineStr">
        <is>
          <t>-</t>
        </is>
      </c>
      <c r="U46" s="199" t="inlineStr">
        <is>
          <t>-</t>
        </is>
      </c>
      <c r="V46" s="199" t="inlineStr">
        <is>
          <t>-</t>
        </is>
      </c>
    </row>
    <row r="47" ht="15.75" customHeight="1" thickBot="1">
      <c r="B47" s="26" t="inlineStr">
        <is>
          <t>M - 40</t>
        </is>
      </c>
      <c r="C47" s="192" t="inlineStr">
        <is>
          <t>V-100B</t>
        </is>
      </c>
      <c r="D47" s="192" t="n">
        <v>399</v>
      </c>
      <c r="E47" s="192" t="n">
        <v>748919</v>
      </c>
      <c r="F47" s="196" t="n">
        <v>9066831</v>
      </c>
      <c r="G47" s="472" t="n">
        <v>3040</v>
      </c>
      <c r="H47" s="473" t="n">
        <v>1520</v>
      </c>
      <c r="I47" s="197" t="n">
        <v>6.9</v>
      </c>
      <c r="J47" s="197" t="n">
        <v>27</v>
      </c>
      <c r="K47" s="197" t="n">
        <v>12.8</v>
      </c>
      <c r="L47" s="197" t="inlineStr">
        <is>
          <t>3.8</t>
        </is>
      </c>
      <c r="M47" s="194" t="n"/>
      <c r="N47" s="194" t="n"/>
      <c r="O47" s="194" t="n"/>
      <c r="P47" s="194" t="n"/>
      <c r="Q47" s="194" t="n"/>
      <c r="R47" s="194" t="n"/>
      <c r="S47" s="194" t="n"/>
      <c r="T47" s="199" t="inlineStr">
        <is>
          <t>+</t>
        </is>
      </c>
      <c r="U47" s="199" t="inlineStr">
        <is>
          <t>+</t>
        </is>
      </c>
      <c r="V47" s="199" t="inlineStr">
        <is>
          <t>+</t>
        </is>
      </c>
    </row>
    <row r="48" ht="15.75" customHeight="1" thickBot="1">
      <c r="B48" s="26" t="inlineStr">
        <is>
          <t>M - 41</t>
        </is>
      </c>
      <c r="C48" s="192" t="inlineStr">
        <is>
          <t>V-101C</t>
        </is>
      </c>
      <c r="D48" s="192" t="n">
        <v>1730</v>
      </c>
      <c r="E48" s="192" t="n">
        <v>745947</v>
      </c>
      <c r="F48" s="192" t="n">
        <v>9066865</v>
      </c>
      <c r="G48" s="473" t="n">
        <v>695</v>
      </c>
      <c r="H48" s="473" t="n">
        <v>348</v>
      </c>
      <c r="I48" s="197" t="n">
        <v>6.8</v>
      </c>
      <c r="J48" s="197" t="n">
        <v>23.3</v>
      </c>
      <c r="K48" s="197" t="n">
        <v>5.15</v>
      </c>
      <c r="L48" s="197" t="inlineStr">
        <is>
          <t>1.1</t>
        </is>
      </c>
      <c r="M48" s="194" t="n"/>
      <c r="N48" s="194" t="n"/>
      <c r="O48" s="194" t="n"/>
      <c r="P48" s="194" t="n"/>
      <c r="Q48" s="194" t="n"/>
      <c r="R48" s="194" t="n"/>
      <c r="S48" s="194" t="n"/>
      <c r="T48" s="218" t="n">
        <v>70</v>
      </c>
      <c r="U48" s="199" t="n">
        <v>0</v>
      </c>
      <c r="V48" s="199" t="n">
        <v>0</v>
      </c>
    </row>
    <row r="49" ht="15.75" customHeight="1" thickBot="1">
      <c r="B49" s="26" t="inlineStr">
        <is>
          <t>M - 42</t>
        </is>
      </c>
      <c r="C49" s="192" t="inlineStr">
        <is>
          <t>V-131C</t>
        </is>
      </c>
      <c r="D49" s="192" t="n"/>
      <c r="E49" s="192" t="n">
        <v>746836</v>
      </c>
      <c r="F49" s="196" t="n">
        <v>9065700</v>
      </c>
      <c r="G49" s="472" t="n">
        <v>2830</v>
      </c>
      <c r="H49" s="473" t="n">
        <v>2830</v>
      </c>
      <c r="I49" s="197" t="inlineStr">
        <is>
          <t>6.8</t>
        </is>
      </c>
      <c r="J49" s="197" t="n">
        <v>24.5</v>
      </c>
      <c r="K49" s="197" t="n">
        <v>0.54</v>
      </c>
      <c r="L49" s="197" t="inlineStr">
        <is>
          <t>2.9</t>
        </is>
      </c>
      <c r="M49" s="194" t="n"/>
      <c r="N49" s="194" t="n"/>
      <c r="O49" s="194" t="n"/>
      <c r="P49" s="194" t="n"/>
      <c r="Q49" s="194" t="n"/>
      <c r="R49" s="194" t="n"/>
      <c r="S49" s="194" t="n"/>
      <c r="T49" s="218" t="n">
        <v>240</v>
      </c>
      <c r="U49" s="199" t="n">
        <v>0</v>
      </c>
      <c r="V49" s="199" t="n">
        <v>0</v>
      </c>
    </row>
    <row r="50" ht="15.75" customHeight="1" thickBot="1">
      <c r="B50" s="26" t="inlineStr">
        <is>
          <t>M - 43</t>
        </is>
      </c>
      <c r="C50" s="192" t="inlineStr">
        <is>
          <t>V-143</t>
        </is>
      </c>
      <c r="D50" s="192" t="n">
        <v>1500</v>
      </c>
      <c r="E50" s="192" t="n">
        <v>745798</v>
      </c>
      <c r="F50" s="196" t="n">
        <v>9064105</v>
      </c>
      <c r="G50" s="472" t="n">
        <v>3900</v>
      </c>
      <c r="H50" s="473" t="n">
        <v>1950</v>
      </c>
      <c r="I50" s="197" t="n">
        <v>7.4</v>
      </c>
      <c r="J50" s="197" t="n">
        <v>28.8</v>
      </c>
      <c r="K50" s="197" t="n">
        <v>1.07</v>
      </c>
      <c r="L50" s="197" t="inlineStr">
        <is>
          <t>3.0</t>
        </is>
      </c>
      <c r="M50" s="194" t="n"/>
      <c r="N50" s="194" t="n"/>
      <c r="O50" s="194" t="n"/>
      <c r="P50" s="194" t="n"/>
      <c r="Q50" s="194" t="n"/>
      <c r="R50" s="194" t="n"/>
      <c r="S50" s="194" t="n"/>
      <c r="T50" s="199" t="inlineStr">
        <is>
          <t>+</t>
        </is>
      </c>
      <c r="U50" s="199" t="inlineStr">
        <is>
          <t>+</t>
        </is>
      </c>
      <c r="V50" s="199" t="inlineStr">
        <is>
          <t>+</t>
        </is>
      </c>
    </row>
    <row r="51" ht="15.75" customHeight="1" thickBot="1">
      <c r="B51" s="26" t="inlineStr">
        <is>
          <t>M - 44</t>
        </is>
      </c>
      <c r="C51" s="192" t="inlineStr">
        <is>
          <t>V-138A</t>
        </is>
      </c>
      <c r="D51" s="192" t="n">
        <v>1511</v>
      </c>
      <c r="E51" s="192" t="n">
        <v>744545</v>
      </c>
      <c r="F51" s="192" t="n">
        <v>9064328</v>
      </c>
      <c r="G51" s="472" t="n">
        <v>1711</v>
      </c>
      <c r="H51" s="473" t="n">
        <v>860</v>
      </c>
      <c r="I51" s="197" t="n">
        <v>7.1</v>
      </c>
      <c r="J51" s="197" t="n">
        <v>24.1</v>
      </c>
      <c r="K51" s="197" t="n">
        <v>5.34</v>
      </c>
      <c r="L51" s="197" t="inlineStr">
        <is>
          <t>2.3</t>
        </is>
      </c>
      <c r="M51" s="194" t="n"/>
      <c r="N51" s="194" t="n"/>
      <c r="O51" s="194" t="n"/>
      <c r="P51" s="194" t="n"/>
      <c r="Q51" s="194" t="n"/>
      <c r="R51" s="194" t="n"/>
      <c r="S51" s="194" t="n"/>
      <c r="T51" s="218" t="n">
        <v>820</v>
      </c>
      <c r="U51" s="199" t="n">
        <v>0</v>
      </c>
      <c r="V51" s="199" t="n">
        <v>0</v>
      </c>
    </row>
    <row r="52" ht="15.75" customHeight="1" thickBot="1">
      <c r="B52" s="26" t="inlineStr">
        <is>
          <t>M - 45</t>
        </is>
      </c>
      <c r="C52" s="192" t="inlineStr">
        <is>
          <t>V-155</t>
        </is>
      </c>
      <c r="D52" s="192" t="n">
        <v>1310</v>
      </c>
      <c r="E52" s="192" t="n">
        <v>744008</v>
      </c>
      <c r="F52" s="192" t="n">
        <v>9065454</v>
      </c>
      <c r="G52" s="473" t="n">
        <v>1088</v>
      </c>
      <c r="H52" s="473" t="n">
        <v>544</v>
      </c>
      <c r="I52" s="197" t="n">
        <v>6.7</v>
      </c>
      <c r="J52" s="197" t="n">
        <v>22.7</v>
      </c>
      <c r="K52" s="197" t="inlineStr">
        <is>
          <t>6.19</t>
        </is>
      </c>
      <c r="L52" s="197" t="inlineStr">
        <is>
          <t>2.0</t>
        </is>
      </c>
      <c r="M52" s="194" t="n"/>
      <c r="N52" s="194" t="n"/>
      <c r="O52" s="194" t="n"/>
      <c r="P52" s="194" t="n"/>
      <c r="Q52" s="194" t="n"/>
      <c r="R52" s="194" t="n"/>
      <c r="S52" s="194" t="n"/>
      <c r="T52" s="199" t="inlineStr">
        <is>
          <t>+</t>
        </is>
      </c>
      <c r="U52" s="199" t="inlineStr">
        <is>
          <t>+</t>
        </is>
      </c>
      <c r="V52" s="199" t="inlineStr">
        <is>
          <t>+</t>
        </is>
      </c>
    </row>
    <row r="53" ht="15.75" customHeight="1" thickBot="1">
      <c r="B53" s="26" t="inlineStr">
        <is>
          <t>M - 46</t>
        </is>
      </c>
      <c r="C53" s="192" t="inlineStr">
        <is>
          <t>V-166</t>
        </is>
      </c>
      <c r="D53" s="192" t="n">
        <v>1275</v>
      </c>
      <c r="E53" s="192" t="n">
        <v>742621</v>
      </c>
      <c r="F53" s="192" t="n">
        <v>9064820</v>
      </c>
      <c r="G53" s="473" t="n">
        <v>1034</v>
      </c>
      <c r="H53" s="473" t="n">
        <v>517</v>
      </c>
      <c r="I53" s="197" t="n">
        <v>7.1</v>
      </c>
      <c r="J53" s="197" t="n">
        <v>25.2</v>
      </c>
      <c r="K53" s="197" t="inlineStr">
        <is>
          <t>14.5</t>
        </is>
      </c>
      <c r="L53" s="197" t="inlineStr">
        <is>
          <t>1.7</t>
        </is>
      </c>
      <c r="M53" s="194" t="n"/>
      <c r="N53" s="194" t="n"/>
      <c r="O53" s="194" t="n"/>
      <c r="P53" s="194" t="n"/>
      <c r="Q53" s="194" t="n"/>
      <c r="R53" s="194" t="n"/>
      <c r="S53" s="194" t="n"/>
      <c r="T53" s="218" t="n">
        <v>70</v>
      </c>
      <c r="U53" s="218" t="n">
        <v>1</v>
      </c>
      <c r="V53" s="199" t="n">
        <v>0</v>
      </c>
    </row>
    <row r="54" ht="15.75" customHeight="1" thickBot="1">
      <c r="B54" s="26" t="inlineStr">
        <is>
          <t>M - 47</t>
        </is>
      </c>
      <c r="C54" s="192" t="inlineStr">
        <is>
          <t>V-181B</t>
        </is>
      </c>
      <c r="D54" s="192" t="n">
        <v>1240</v>
      </c>
      <c r="E54" s="192" t="n">
        <v>742065</v>
      </c>
      <c r="F54" s="192" t="n">
        <v>9066519</v>
      </c>
      <c r="G54" s="473" t="n">
        <v>1229</v>
      </c>
      <c r="H54" s="473" t="n">
        <v>614</v>
      </c>
      <c r="I54" s="197" t="n">
        <v>7.5</v>
      </c>
      <c r="J54" s="197" t="n">
        <v>23</v>
      </c>
      <c r="K54" s="197">
        <f>ROUND(1.61,2)</f>
        <v/>
      </c>
      <c r="L54" s="197" t="inlineStr">
        <is>
          <t>1.5</t>
        </is>
      </c>
      <c r="M54" s="194" t="n"/>
      <c r="N54" s="194" t="n"/>
      <c r="O54" s="194" t="n"/>
      <c r="P54" s="194" t="n"/>
      <c r="Q54" s="194" t="n"/>
      <c r="R54" s="194" t="n"/>
      <c r="S54" s="194" t="n"/>
      <c r="T54" s="218" t="n">
        <v>220</v>
      </c>
      <c r="U54" s="199" t="n">
        <v>0</v>
      </c>
      <c r="V54" s="199" t="n">
        <v>0</v>
      </c>
    </row>
    <row r="55" ht="15.75" customHeight="1" thickBot="1">
      <c r="B55" s="26" t="inlineStr">
        <is>
          <t>M - 48</t>
        </is>
      </c>
      <c r="C55" s="192" t="inlineStr">
        <is>
          <t>V-173</t>
        </is>
      </c>
      <c r="D55" s="192" t="n">
        <v>1364</v>
      </c>
      <c r="E55" s="192" t="n">
        <v>742982</v>
      </c>
      <c r="F55" s="192" t="n">
        <v>9067747</v>
      </c>
      <c r="G55" s="473" t="n">
        <v>886</v>
      </c>
      <c r="H55" s="473" t="n">
        <v>443</v>
      </c>
      <c r="I55" s="197" t="n">
        <v>7.3</v>
      </c>
      <c r="J55" s="197" t="n">
        <v>24</v>
      </c>
      <c r="K55" s="197">
        <f>ROUND(4.31,2)</f>
        <v/>
      </c>
      <c r="L55" s="197" t="inlineStr">
        <is>
          <t>2.0</t>
        </is>
      </c>
      <c r="M55" s="194" t="n"/>
      <c r="N55" s="194" t="n"/>
      <c r="O55" s="194" t="n"/>
      <c r="P55" s="194" t="n"/>
      <c r="Q55" s="194" t="n"/>
      <c r="R55" s="194" t="n"/>
      <c r="S55" s="194" t="n"/>
      <c r="T55" s="218" t="n">
        <v>50</v>
      </c>
      <c r="U55" s="199" t="n">
        <v>0</v>
      </c>
      <c r="V55" s="199" t="n">
        <v>0</v>
      </c>
    </row>
    <row r="56" ht="15.75" customHeight="1" thickBot="1">
      <c r="B56" s="26" t="inlineStr">
        <is>
          <t>M - 49</t>
        </is>
      </c>
      <c r="C56" s="192" t="inlineStr">
        <is>
          <t>V-179A</t>
        </is>
      </c>
      <c r="D56" s="192" t="n">
        <v>1424</v>
      </c>
      <c r="E56" s="192" t="n">
        <v>743554</v>
      </c>
      <c r="F56" s="192" t="n">
        <v>9066146</v>
      </c>
      <c r="G56" s="473" t="n">
        <v>1016</v>
      </c>
      <c r="H56" s="473" t="n">
        <v>524</v>
      </c>
      <c r="I56" s="197" t="n">
        <v>6.9</v>
      </c>
      <c r="J56" s="197" t="n">
        <v>22.3</v>
      </c>
      <c r="K56" s="197">
        <f>ROUND(3.66,2)</f>
        <v/>
      </c>
      <c r="L56" s="197" t="inlineStr">
        <is>
          <t>1.5</t>
        </is>
      </c>
      <c r="M56" s="194" t="n"/>
      <c r="N56" s="194" t="n"/>
      <c r="O56" s="194" t="n"/>
      <c r="P56" s="194" t="n"/>
      <c r="Q56" s="194" t="n"/>
      <c r="R56" s="194" t="n"/>
      <c r="S56" s="194" t="n"/>
      <c r="T56" s="218" t="n">
        <v>40</v>
      </c>
      <c r="U56" s="218" t="n">
        <v>5</v>
      </c>
      <c r="V56" s="199" t="n">
        <v>0</v>
      </c>
    </row>
    <row r="57" ht="15.75" customHeight="1" thickBot="1">
      <c r="B57" s="26" t="inlineStr">
        <is>
          <t>M - 50</t>
        </is>
      </c>
      <c r="C57" s="192" t="inlineStr">
        <is>
          <t>V-148A</t>
        </is>
      </c>
      <c r="D57" s="192" t="n">
        <v>1445</v>
      </c>
      <c r="E57" s="192" t="n">
        <v>745115</v>
      </c>
      <c r="F57" s="192" t="n">
        <v>9065728</v>
      </c>
      <c r="G57" s="473" t="n">
        <v>1225</v>
      </c>
      <c r="H57" s="473" t="n">
        <v>612</v>
      </c>
      <c r="I57" s="197" t="n">
        <v>6.9</v>
      </c>
      <c r="J57" s="197" t="n">
        <v>24.1</v>
      </c>
      <c r="K57" s="197">
        <f>ROUND(1.24,2)</f>
        <v/>
      </c>
      <c r="L57" s="197" t="inlineStr">
        <is>
          <t>2.0</t>
        </is>
      </c>
      <c r="M57" s="194" t="n"/>
      <c r="N57" s="194" t="n"/>
      <c r="O57" s="194" t="n"/>
      <c r="P57" s="194" t="n"/>
      <c r="Q57" s="194" t="n"/>
      <c r="R57" s="194" t="n"/>
      <c r="S57" s="194" t="n"/>
      <c r="T57" s="218" t="n">
        <v>56</v>
      </c>
      <c r="U57" s="199" t="n">
        <v>0</v>
      </c>
      <c r="V57" s="199" t="n">
        <v>0</v>
      </c>
    </row>
    <row r="58" ht="15.75" customHeight="1" thickBot="1">
      <c r="B58" s="26" t="inlineStr">
        <is>
          <t>M - 51</t>
        </is>
      </c>
      <c r="C58" s="192" t="inlineStr">
        <is>
          <t>V-169B</t>
        </is>
      </c>
      <c r="D58" s="192" t="n">
        <v>1205</v>
      </c>
      <c r="E58" s="192" t="n">
        <v>740989</v>
      </c>
      <c r="F58" s="192" t="n">
        <v>9064870</v>
      </c>
      <c r="G58" s="473" t="n">
        <v>958</v>
      </c>
      <c r="H58" s="473" t="n">
        <v>479</v>
      </c>
      <c r="I58" s="197" t="n">
        <v>6.6</v>
      </c>
      <c r="J58" s="197" t="n">
        <v>22.1</v>
      </c>
      <c r="K58" s="197">
        <f>ROUND(1.79,2)</f>
        <v/>
      </c>
      <c r="L58" s="197" t="inlineStr">
        <is>
          <t>1.7</t>
        </is>
      </c>
      <c r="M58" s="194" t="n"/>
      <c r="N58" s="194" t="n"/>
      <c r="O58" s="194" t="n"/>
      <c r="P58" s="194" t="n"/>
      <c r="Q58" s="194" t="n"/>
      <c r="R58" s="194" t="n"/>
      <c r="S58" s="194" t="n"/>
      <c r="T58" s="218" t="n">
        <v>200</v>
      </c>
      <c r="U58" s="218" t="n">
        <v>5</v>
      </c>
      <c r="V58" s="199" t="n">
        <v>0</v>
      </c>
    </row>
    <row r="59" ht="15.75" customHeight="1" thickBot="1">
      <c r="B59" s="26" t="inlineStr">
        <is>
          <t>M - 52</t>
        </is>
      </c>
      <c r="C59" s="192" t="inlineStr">
        <is>
          <t>V-189</t>
        </is>
      </c>
      <c r="D59" s="192" t="n">
        <v>1171</v>
      </c>
      <c r="E59" s="192" t="n">
        <v>740149</v>
      </c>
      <c r="F59" s="192" t="n">
        <v>9065557</v>
      </c>
      <c r="G59" s="472" t="n">
        <v>1712</v>
      </c>
      <c r="H59" s="473" t="n">
        <v>856</v>
      </c>
      <c r="I59" s="197" t="n">
        <v>7.3</v>
      </c>
      <c r="J59" s="197" t="n">
        <v>21.8</v>
      </c>
      <c r="K59" s="197">
        <f>ROUND(3.02,2)</f>
        <v/>
      </c>
      <c r="L59" s="197" t="inlineStr">
        <is>
          <t>1.9</t>
        </is>
      </c>
      <c r="M59" s="194" t="n"/>
      <c r="N59" s="194" t="n"/>
      <c r="O59" s="194" t="n"/>
      <c r="P59" s="194" t="n"/>
      <c r="Q59" s="194" t="n"/>
      <c r="R59" s="194" t="n"/>
      <c r="S59" s="194" t="n"/>
      <c r="T59" s="218" t="n">
        <v>800</v>
      </c>
      <c r="U59" s="218" t="n">
        <v>30</v>
      </c>
      <c r="V59" s="199" t="n">
        <v>0</v>
      </c>
    </row>
    <row r="60" ht="15.75" customHeight="1" thickBot="1">
      <c r="B60" s="26" t="inlineStr">
        <is>
          <t>M - 53</t>
        </is>
      </c>
      <c r="C60" s="192" t="inlineStr">
        <is>
          <t>V-191B</t>
        </is>
      </c>
      <c r="D60" s="192" t="n">
        <v>1652</v>
      </c>
      <c r="E60" s="192" t="n">
        <v>739711</v>
      </c>
      <c r="F60" s="192" t="n">
        <v>9064320</v>
      </c>
      <c r="G60" s="472" t="n">
        <v>2380</v>
      </c>
      <c r="H60" s="473" t="n">
        <v>1190</v>
      </c>
      <c r="I60" s="197" t="n">
        <v>8.5</v>
      </c>
      <c r="J60" s="197" t="n">
        <v>20.3</v>
      </c>
      <c r="K60" s="197">
        <f>ROUND(2.8,2)</f>
        <v/>
      </c>
      <c r="L60" s="197" t="inlineStr">
        <is>
          <t>2.2</t>
        </is>
      </c>
      <c r="M60" s="194" t="n"/>
      <c r="N60" s="194" t="n"/>
      <c r="O60" s="194" t="n"/>
      <c r="P60" s="194" t="n"/>
      <c r="Q60" s="194" t="n"/>
      <c r="R60" s="194" t="n"/>
      <c r="S60" s="194" t="n"/>
      <c r="T60" s="218" t="n">
        <v>60</v>
      </c>
      <c r="U60" s="199" t="n">
        <v>0</v>
      </c>
      <c r="V60" s="199" t="n">
        <v>0</v>
      </c>
    </row>
    <row r="61" ht="15.75" customHeight="1" thickBot="1">
      <c r="B61" s="26" t="inlineStr">
        <is>
          <t>M - 54</t>
        </is>
      </c>
      <c r="C61" s="192" t="inlineStr">
        <is>
          <t>V-268D</t>
        </is>
      </c>
      <c r="D61" s="192" t="n">
        <v>1074</v>
      </c>
      <c r="E61" s="192" t="n">
        <v>737836</v>
      </c>
      <c r="F61" s="196" t="n">
        <v>9063246</v>
      </c>
      <c r="G61" s="472" t="n">
        <v>4540</v>
      </c>
      <c r="H61" s="473" t="n">
        <v>2270</v>
      </c>
      <c r="I61" s="197" t="n">
        <v>7.8</v>
      </c>
      <c r="J61" s="197" t="n">
        <v>23</v>
      </c>
      <c r="K61" s="197">
        <f>ROUND(0.62,2)</f>
        <v/>
      </c>
      <c r="L61" s="197" t="inlineStr">
        <is>
          <t>2.7</t>
        </is>
      </c>
      <c r="M61" s="194" t="n"/>
      <c r="N61" s="194" t="n"/>
      <c r="O61" s="194" t="n"/>
      <c r="P61" s="194" t="n"/>
      <c r="Q61" s="194" t="n"/>
      <c r="R61" s="194" t="n"/>
      <c r="S61" s="194" t="n"/>
      <c r="T61" s="218" t="n">
        <v>40</v>
      </c>
      <c r="U61" s="218" t="n">
        <v>20</v>
      </c>
      <c r="V61" s="199" t="n">
        <v>0</v>
      </c>
    </row>
    <row r="62" ht="15.75" customHeight="1" thickBot="1">
      <c r="B62" s="26" t="inlineStr">
        <is>
          <t>M - 55</t>
        </is>
      </c>
      <c r="C62" s="192" t="inlineStr">
        <is>
          <t>V-249B</t>
        </is>
      </c>
      <c r="D62" s="192" t="n">
        <v>1112</v>
      </c>
      <c r="E62" s="192" t="n">
        <v>738781</v>
      </c>
      <c r="F62" s="196" t="n">
        <v>9062116</v>
      </c>
      <c r="G62" s="472" t="n">
        <v>3960</v>
      </c>
      <c r="H62" s="473" t="n">
        <v>1980</v>
      </c>
      <c r="I62" s="197" t="n">
        <v>7.8</v>
      </c>
      <c r="J62" s="197" t="n">
        <v>21.6</v>
      </c>
      <c r="K62" s="197">
        <f>ROUND(5.49,2)</f>
        <v/>
      </c>
      <c r="L62" s="197" t="inlineStr">
        <is>
          <t>2.9</t>
        </is>
      </c>
      <c r="M62" s="194" t="n"/>
      <c r="N62" s="194" t="n"/>
      <c r="O62" s="194" t="n"/>
      <c r="P62" s="194" t="n"/>
      <c r="Q62" s="194" t="n"/>
      <c r="R62" s="194" t="n"/>
      <c r="S62" s="194" t="n"/>
      <c r="T62" s="199" t="inlineStr">
        <is>
          <t>+</t>
        </is>
      </c>
      <c r="U62" s="199" t="inlineStr">
        <is>
          <t>+</t>
        </is>
      </c>
      <c r="V62" s="199" t="inlineStr">
        <is>
          <t>+</t>
        </is>
      </c>
    </row>
    <row r="63" ht="15.75" customHeight="1" thickBot="1">
      <c r="B63" s="26" t="inlineStr">
        <is>
          <t>M - 56</t>
        </is>
      </c>
      <c r="C63" s="192" t="inlineStr">
        <is>
          <t>V-257C</t>
        </is>
      </c>
      <c r="D63" s="192" t="n">
        <v>968</v>
      </c>
      <c r="E63" s="192" t="n">
        <v>738106</v>
      </c>
      <c r="F63" s="196" t="n">
        <v>9060933</v>
      </c>
      <c r="G63" s="472" t="n">
        <v>3150</v>
      </c>
      <c r="H63" s="473" t="n">
        <v>1575</v>
      </c>
      <c r="I63" s="197" t="n">
        <v>7.7</v>
      </c>
      <c r="J63" s="197" t="n">
        <v>23.6</v>
      </c>
      <c r="K63" s="197">
        <f>ROUND(2.88,2)</f>
        <v/>
      </c>
      <c r="L63" s="197" t="inlineStr">
        <is>
          <t>2.3</t>
        </is>
      </c>
      <c r="M63" s="194" t="n"/>
      <c r="N63" s="194" t="n"/>
      <c r="O63" s="194" t="n"/>
      <c r="P63" s="194" t="n"/>
      <c r="Q63" s="194" t="n"/>
      <c r="R63" s="194" t="n"/>
      <c r="S63" s="194" t="n"/>
      <c r="T63" s="199" t="inlineStr">
        <is>
          <t>+</t>
        </is>
      </c>
      <c r="U63" s="199" t="inlineStr">
        <is>
          <t>+</t>
        </is>
      </c>
      <c r="V63" s="199" t="inlineStr">
        <is>
          <t>+</t>
        </is>
      </c>
    </row>
    <row r="64" ht="15.75" customHeight="1" thickBot="1">
      <c r="B64" s="26" t="inlineStr">
        <is>
          <t>M - 57</t>
        </is>
      </c>
      <c r="C64" s="192" t="inlineStr">
        <is>
          <t>V-253D</t>
        </is>
      </c>
      <c r="D64" s="192" t="n">
        <v>934</v>
      </c>
      <c r="E64" s="192" t="n">
        <v>739449</v>
      </c>
      <c r="F64" s="196" t="n">
        <v>9059687</v>
      </c>
      <c r="G64" s="472" t="n">
        <v>3150</v>
      </c>
      <c r="H64" s="473" t="n">
        <v>1575</v>
      </c>
      <c r="I64" s="197" t="n">
        <v>7.8</v>
      </c>
      <c r="J64" s="197" t="n">
        <v>24.9</v>
      </c>
      <c r="K64" s="197">
        <f>ROUND(2.11,2)</f>
        <v/>
      </c>
      <c r="L64" s="197" t="inlineStr">
        <is>
          <t>2.2</t>
        </is>
      </c>
      <c r="M64" s="194" t="n"/>
      <c r="N64" s="194" t="n"/>
      <c r="O64" s="194" t="n"/>
      <c r="P64" s="194" t="n"/>
      <c r="Q64" s="194" t="n"/>
      <c r="R64" s="194" t="n"/>
      <c r="S64" s="194" t="n"/>
      <c r="T64" s="199" t="inlineStr">
        <is>
          <t>+</t>
        </is>
      </c>
      <c r="U64" s="199" t="inlineStr">
        <is>
          <t>+</t>
        </is>
      </c>
      <c r="V64" s="199" t="inlineStr">
        <is>
          <t>+</t>
        </is>
      </c>
    </row>
    <row r="65" ht="15.75" customHeight="1" thickBot="1">
      <c r="B65" s="26" t="inlineStr">
        <is>
          <t>M - 58</t>
        </is>
      </c>
      <c r="C65" s="192" t="inlineStr">
        <is>
          <t>V-253A</t>
        </is>
      </c>
      <c r="D65" s="192" t="n">
        <v>926</v>
      </c>
      <c r="E65" s="192" t="n">
        <v>737690</v>
      </c>
      <c r="F65" s="196" t="n">
        <v>9059208</v>
      </c>
      <c r="G65" s="472" t="n">
        <v>4920</v>
      </c>
      <c r="H65" s="473" t="n">
        <v>2460</v>
      </c>
      <c r="I65" s="197" t="n">
        <v>7.1</v>
      </c>
      <c r="J65" s="197" t="n">
        <v>22.3</v>
      </c>
      <c r="K65" s="197">
        <f>ROUND(3.24,2)</f>
        <v/>
      </c>
      <c r="L65" s="197" t="inlineStr">
        <is>
          <t>3.2</t>
        </is>
      </c>
      <c r="M65" s="194" t="n"/>
      <c r="N65" s="194" t="n"/>
      <c r="O65" s="194" t="n"/>
      <c r="P65" s="194" t="n"/>
      <c r="Q65" s="194" t="n"/>
      <c r="R65" s="194" t="n"/>
      <c r="S65" s="194" t="n"/>
      <c r="T65" s="218" t="n">
        <v>400</v>
      </c>
      <c r="U65" s="199" t="n">
        <v>0</v>
      </c>
      <c r="V65" s="199" t="n">
        <v>0</v>
      </c>
    </row>
    <row r="66" ht="15.75" customHeight="1" thickBot="1">
      <c r="B66" s="26" t="inlineStr">
        <is>
          <t>M - 59</t>
        </is>
      </c>
      <c r="C66" s="192" t="inlineStr">
        <is>
          <t>V-259</t>
        </is>
      </c>
      <c r="D66" s="192" t="n">
        <v>1024</v>
      </c>
      <c r="E66" s="192" t="n">
        <v>737103</v>
      </c>
      <c r="F66" s="196" t="n">
        <v>9061614</v>
      </c>
      <c r="G66" s="472" t="n">
        <v>3050</v>
      </c>
      <c r="H66" s="473" t="n">
        <v>1525</v>
      </c>
      <c r="I66" s="197" t="n">
        <v>7.8</v>
      </c>
      <c r="J66" s="197" t="n">
        <v>24</v>
      </c>
      <c r="K66" s="197">
        <f>ROUND(7.56,2)</f>
        <v/>
      </c>
      <c r="L66" s="197" t="inlineStr">
        <is>
          <t>2.7</t>
        </is>
      </c>
      <c r="M66" s="194" t="n"/>
      <c r="N66" s="194" t="n"/>
      <c r="O66" s="194" t="n"/>
      <c r="P66" s="194" t="n"/>
      <c r="Q66" s="194" t="n"/>
      <c r="R66" s="194" t="n"/>
      <c r="S66" s="194" t="n"/>
      <c r="T66" s="199" t="inlineStr">
        <is>
          <t>+</t>
        </is>
      </c>
      <c r="U66" s="199" t="inlineStr">
        <is>
          <t>+</t>
        </is>
      </c>
      <c r="V66" s="199" t="inlineStr">
        <is>
          <t>+</t>
        </is>
      </c>
      <c r="W66" s="27" t="n"/>
      <c r="X66" s="27" t="n"/>
    </row>
    <row r="67" ht="15.75" customHeight="1" thickBot="1">
      <c r="B67" s="26" t="inlineStr">
        <is>
          <t>M - 60</t>
        </is>
      </c>
      <c r="C67" s="192" t="inlineStr">
        <is>
          <t>V-256B</t>
        </is>
      </c>
      <c r="D67" s="192" t="n">
        <v>1628</v>
      </c>
      <c r="E67" s="192" t="n">
        <v>735524</v>
      </c>
      <c r="F67" s="196" t="n">
        <v>9060454</v>
      </c>
      <c r="G67" s="472" t="n">
        <v>3950</v>
      </c>
      <c r="H67" s="473" t="n">
        <v>1975</v>
      </c>
      <c r="I67" s="197" t="n">
        <v>6.9</v>
      </c>
      <c r="J67" s="197" t="n">
        <v>22.1</v>
      </c>
      <c r="K67" s="197">
        <f>ROUND(0.65,2)</f>
        <v/>
      </c>
      <c r="L67" s="197" t="inlineStr">
        <is>
          <t>1.9</t>
        </is>
      </c>
      <c r="M67" s="194" t="n"/>
      <c r="N67" s="194" t="n"/>
      <c r="O67" s="194" t="n"/>
      <c r="P67" s="194" t="n"/>
      <c r="Q67" s="194" t="n"/>
      <c r="R67" s="194" t="n"/>
      <c r="S67" s="194" t="n"/>
      <c r="T67" s="218" t="n">
        <v>180</v>
      </c>
      <c r="U67" s="199" t="n">
        <v>0</v>
      </c>
      <c r="V67" s="199" t="n">
        <v>0</v>
      </c>
    </row>
    <row r="68" ht="13.9" customHeight="1"/>
    <row r="69">
      <c r="F69" s="210" t="inlineStr">
        <is>
          <t>MAX</t>
        </is>
      </c>
      <c r="G69" s="474">
        <f>MAX(G8:G67)</f>
        <v/>
      </c>
      <c r="H69" s="474">
        <f>MAX(H8:H67)</f>
        <v/>
      </c>
      <c r="I69" s="474">
        <f>MAX(I8:I67)</f>
        <v/>
      </c>
      <c r="J69" s="474">
        <f>MAX(J8:J67)</f>
        <v/>
      </c>
      <c r="K69" s="474">
        <f>MAX(K8:K67)</f>
        <v/>
      </c>
      <c r="L69" s="474">
        <f>MAX(L8:L67)</f>
        <v/>
      </c>
      <c r="M69" s="474">
        <f>MAX(M8:M67)</f>
        <v/>
      </c>
      <c r="N69" s="474">
        <f>MAX(N8:N67)</f>
        <v/>
      </c>
      <c r="O69" s="474">
        <f>MAX(O8:O67)</f>
        <v/>
      </c>
      <c r="P69" s="474">
        <f>MAX(P8:P67)</f>
        <v/>
      </c>
      <c r="Q69" s="474">
        <f>MAX(Q8:Q67)</f>
        <v/>
      </c>
      <c r="R69" s="474">
        <f>MAX(R8:R67)</f>
        <v/>
      </c>
      <c r="S69" s="474">
        <f>MAX(S8:S67)</f>
        <v/>
      </c>
      <c r="T69" s="474">
        <f>MAX(T8:T67)</f>
        <v/>
      </c>
      <c r="U69" s="474">
        <f>MAX(U8:U67)</f>
        <v/>
      </c>
      <c r="V69" s="474">
        <f>MAX(V8:V67)</f>
        <v/>
      </c>
    </row>
    <row r="70">
      <c r="F70" s="210" t="inlineStr">
        <is>
          <t>MIN</t>
        </is>
      </c>
      <c r="G70" s="474">
        <f>MIN(G8:G67)</f>
        <v/>
      </c>
      <c r="H70" s="474">
        <f>MIN(H8:H67)</f>
        <v/>
      </c>
      <c r="I70" s="474">
        <f>MIN(I8:I67)</f>
        <v/>
      </c>
      <c r="J70" s="474">
        <f>MIN(J8:J67)</f>
        <v/>
      </c>
      <c r="K70" s="475">
        <f>MIN(K8:K67)</f>
        <v/>
      </c>
      <c r="L70" s="474">
        <f>MIN(L8:L67)</f>
        <v/>
      </c>
      <c r="M70" s="474">
        <f>MIN(M8:M67)</f>
        <v/>
      </c>
      <c r="N70" s="474">
        <f>MIN(N8:N67)</f>
        <v/>
      </c>
      <c r="O70" s="474">
        <f>MIN(O8:O67)</f>
        <v/>
      </c>
      <c r="P70" s="474">
        <f>MIN(P8:P67)</f>
        <v/>
      </c>
      <c r="Q70" s="474">
        <f>MIN(Q8:Q67)</f>
        <v/>
      </c>
      <c r="R70" s="474">
        <f>MIN(R8:R67)</f>
        <v/>
      </c>
      <c r="S70" s="474">
        <f>MIN(S8:S67)</f>
        <v/>
      </c>
      <c r="T70" s="474">
        <f>MIN(T8:T67)</f>
        <v/>
      </c>
      <c r="U70" s="474">
        <f>MIN(U8:U67)</f>
        <v/>
      </c>
      <c r="V70" s="474">
        <f>MIN(V8:V67)</f>
        <v/>
      </c>
    </row>
    <row r="71">
      <c r="F71" s="355" t="n"/>
      <c r="G71" s="474" t="n"/>
      <c r="H71" s="474" t="n"/>
      <c r="I71" s="474" t="n"/>
      <c r="J71" s="474" t="n"/>
      <c r="K71" s="475" t="n"/>
      <c r="L71" s="474" t="n"/>
      <c r="M71" s="474" t="n"/>
      <c r="N71" s="474" t="n"/>
      <c r="O71" s="474" t="n"/>
      <c r="P71" s="474" t="n"/>
      <c r="Q71" s="474" t="n"/>
      <c r="R71" s="474" t="n"/>
      <c r="S71" s="474" t="n"/>
      <c r="T71" s="474" t="n"/>
      <c r="U71" s="474" t="n"/>
      <c r="V71" s="474" t="n"/>
    </row>
    <row r="72">
      <c r="G72" s="215" t="n">
        <v>29</v>
      </c>
      <c r="H72" s="215" t="n">
        <v>15</v>
      </c>
      <c r="I72" s="215">
        <f>MIN(I9:I68)</f>
        <v/>
      </c>
      <c r="J72" s="215" t="n"/>
      <c r="K72" s="215" t="n">
        <v>10</v>
      </c>
      <c r="L72" s="215" t="n">
        <v>0</v>
      </c>
      <c r="M72" s="215" t="n"/>
      <c r="N72" s="215" t="n"/>
      <c r="O72" s="215" t="n"/>
      <c r="P72" s="215" t="n"/>
      <c r="Q72" s="215" t="n"/>
      <c r="R72" s="215" t="n"/>
      <c r="S72" s="215" t="n"/>
      <c r="T72" s="217" t="n">
        <v>34</v>
      </c>
      <c r="U72" s="217" t="n">
        <v>19</v>
      </c>
      <c r="V72" s="216" t="n">
        <v>5</v>
      </c>
    </row>
    <row r="73">
      <c r="G73" s="217">
        <f>(G72*100)/57</f>
        <v/>
      </c>
      <c r="H73" s="217">
        <f>(H72*100)/57</f>
        <v/>
      </c>
      <c r="I73" s="217" t="n"/>
      <c r="J73" s="217" t="n"/>
      <c r="K73" s="217">
        <f>(K72*100)/57</f>
        <v/>
      </c>
      <c r="L73" s="217">
        <f>(L72*100)/57</f>
        <v/>
      </c>
      <c r="M73" s="217">
        <f>(M72*100)/57</f>
        <v/>
      </c>
      <c r="N73" s="217">
        <f>(N72*100)/57</f>
        <v/>
      </c>
      <c r="O73" s="217">
        <f>(O72*100)/57</f>
        <v/>
      </c>
      <c r="P73" s="217">
        <f>(P72*100)/57</f>
        <v/>
      </c>
      <c r="Q73" s="217">
        <f>(Q72*100)/57</f>
        <v/>
      </c>
      <c r="R73" s="217">
        <f>(R72*100)/57</f>
        <v/>
      </c>
      <c r="S73" s="217">
        <f>(S72*100)/57</f>
        <v/>
      </c>
      <c r="T73" s="217">
        <f>(T72*100)/35</f>
        <v/>
      </c>
      <c r="U73" s="217">
        <f>(U72*100)/35</f>
        <v/>
      </c>
      <c r="V73" s="217">
        <f>(V72*100)/35</f>
        <v/>
      </c>
    </row>
    <row r="74" ht="15.75" customHeight="1" thickBot="1">
      <c r="C74" s="360" t="inlineStr">
        <is>
          <t>RIEGO</t>
        </is>
      </c>
      <c r="G74" s="213" t="inlineStr">
        <is>
          <t>&gt;15</t>
        </is>
      </c>
      <c r="H74" s="213" t="n"/>
      <c r="I74" s="213" t="n"/>
      <c r="J74" s="213" t="n"/>
      <c r="K74" s="213" t="n"/>
      <c r="L74" s="213" t="n"/>
      <c r="M74" s="213" t="n"/>
      <c r="N74" s="213" t="n"/>
      <c r="O74" s="213" t="n"/>
      <c r="P74" s="213" t="n"/>
      <c r="Q74" s="213" t="n"/>
      <c r="R74" s="213" t="n"/>
      <c r="S74" s="213" t="n"/>
      <c r="T74" s="213" t="n"/>
      <c r="U74" s="213" t="n"/>
      <c r="V74" s="213" t="n"/>
    </row>
    <row r="75" ht="15.75" customHeight="1" thickBot="1">
      <c r="C75" s="360" t="inlineStr">
        <is>
          <t>ANIMALES</t>
        </is>
      </c>
      <c r="G75" s="213" t="inlineStr">
        <is>
          <t>&gt; 2</t>
        </is>
      </c>
      <c r="H75" s="213" t="n"/>
      <c r="I75" s="213" t="n"/>
      <c r="J75" s="213" t="n"/>
      <c r="K75" s="213" t="n"/>
      <c r="L75" s="213" t="n"/>
      <c r="M75" s="213" t="n"/>
      <c r="N75" s="213" t="n"/>
      <c r="O75" s="213" t="n"/>
      <c r="P75" s="213" t="n"/>
      <c r="Q75" s="213" t="n"/>
      <c r="R75" s="213" t="n"/>
      <c r="S75" s="213" t="n"/>
      <c r="T75" s="213" t="n"/>
      <c r="U75" s="214" t="n"/>
      <c r="V75" s="213" t="n"/>
    </row>
    <row r="76">
      <c r="L76" s="28" t="inlineStr">
        <is>
          <t>134-B</t>
        </is>
      </c>
      <c r="M76" s="28" t="n"/>
      <c r="N76" s="28" t="n"/>
      <c r="O76" s="28" t="n"/>
      <c r="P76" s="28" t="n"/>
      <c r="Q76" s="28" t="n"/>
      <c r="R76" s="28" t="n"/>
      <c r="S76" s="28" t="n"/>
      <c r="T76" s="28" t="n">
        <v>220</v>
      </c>
      <c r="U76" s="29" t="n">
        <v>5</v>
      </c>
      <c r="V76" s="28" t="n">
        <v>5</v>
      </c>
    </row>
    <row r="78">
      <c r="L78" s="30" t="inlineStr">
        <is>
          <t>-</t>
        </is>
      </c>
      <c r="T78" s="360" t="inlineStr">
        <is>
          <t>Pozos sin acceso</t>
        </is>
      </c>
    </row>
  </sheetData>
  <mergeCells count="12">
    <mergeCell ref="E3:F4"/>
    <mergeCell ref="B2:V2"/>
    <mergeCell ref="C6:F6"/>
    <mergeCell ref="I3:I4"/>
    <mergeCell ref="C7:F7"/>
    <mergeCell ref="J6:J7"/>
    <mergeCell ref="J3:J5"/>
    <mergeCell ref="T78:V78"/>
    <mergeCell ref="T7:V7"/>
    <mergeCell ref="B6:B7"/>
    <mergeCell ref="C3:D4"/>
    <mergeCell ref="T6:V6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8"/>
    <outlinePr summaryBelow="1" summaryRight="1"/>
    <pageSetUpPr/>
  </sheetPr>
  <dimension ref="A2:AE94"/>
  <sheetViews>
    <sheetView workbookViewId="0">
      <selection activeCell="A1" sqref="A1"/>
    </sheetView>
  </sheetViews>
  <sheetFormatPr baseColWidth="10" defaultColWidth="11.42578125" defaultRowHeight="15"/>
  <cols>
    <col width="11.42578125" customWidth="1" style="360" min="1" max="1"/>
    <col width="24.28515625" bestFit="1" customWidth="1" style="360" min="2" max="2"/>
    <col width="11" customWidth="1" style="360" min="3" max="3"/>
    <col width="11.28515625" customWidth="1" style="360" min="4" max="4"/>
    <col width="10.7109375" customWidth="1" style="360" min="5" max="5"/>
    <col width="16.7109375" customWidth="1" style="360" min="6" max="6"/>
    <col width="15.5703125" customWidth="1" style="360" min="7" max="7"/>
    <col width="11.42578125" customWidth="1" style="360" min="8" max="8"/>
    <col width="15.28515625" customWidth="1" style="360" min="9" max="9"/>
    <col width="16.7109375" customWidth="1" style="360" min="10" max="10"/>
    <col width="11.42578125" customWidth="1" style="360" min="11" max="11"/>
    <col width="12.140625" customWidth="1" style="360" min="12" max="12"/>
    <col width="11.42578125" customWidth="1" style="360" min="13" max="14"/>
    <col width="16.42578125" customWidth="1" style="360" min="15" max="15"/>
    <col width="12.28515625" customWidth="1" style="360" min="16" max="16"/>
    <col width="14.85546875" customWidth="1" style="360" min="17" max="17"/>
    <col width="12.7109375" customWidth="1" style="360" min="18" max="18"/>
    <col width="13.7109375" customWidth="1" style="360" min="19" max="27"/>
    <col width="23.28515625" customWidth="1" style="360" min="28" max="28"/>
    <col width="13.7109375" customWidth="1" style="360" min="29" max="29"/>
    <col width="20.28515625" customWidth="1" style="360" min="30" max="30"/>
    <col width="18.7109375" customWidth="1" style="360" min="31" max="31"/>
    <col width="11.42578125" customWidth="1" style="360" min="32" max="16384"/>
  </cols>
  <sheetData>
    <row r="2" ht="11.25" customHeight="1">
      <c r="U2" s="360" t="n">
        <v>24.305</v>
      </c>
      <c r="V2" s="360" t="n">
        <v>22.989</v>
      </c>
      <c r="W2" s="360" t="n">
        <v>40.078</v>
      </c>
    </row>
    <row r="3" ht="12" customHeight="1" thickBot="1">
      <c r="U3" s="360" t="n">
        <v>2</v>
      </c>
      <c r="V3" s="360" t="n">
        <v>1</v>
      </c>
      <c r="W3" s="360" t="n">
        <v>2</v>
      </c>
    </row>
    <row r="4" ht="39" customFormat="1" customHeight="1" s="300" thickBot="1">
      <c r="B4" s="378" t="inlineStr">
        <is>
          <t>RESULTADOS ANÁLISIS FISICOS DE LA CALIDAD DE AGUA SUBTERRANEA VALLE DE VIRÚ
MARZO 2026 - 1° MONITOREO</t>
        </is>
      </c>
      <c r="C4" s="379" t="n"/>
      <c r="D4" s="379" t="n"/>
      <c r="E4" s="379" t="n"/>
      <c r="F4" s="379" t="n"/>
      <c r="G4" s="379" t="n"/>
      <c r="H4" s="379" t="n"/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79" t="n"/>
      <c r="S4" s="379" t="n"/>
      <c r="T4" s="379" t="n"/>
      <c r="U4" s="379" t="n"/>
      <c r="V4" s="379" t="n"/>
      <c r="W4" s="379" t="n"/>
      <c r="X4" s="379" t="n"/>
      <c r="Y4" s="379" t="n"/>
      <c r="Z4" s="379" t="n"/>
      <c r="AA4" s="379" t="n"/>
      <c r="AB4" s="379" t="n"/>
      <c r="AC4" s="379" t="n"/>
      <c r="AD4" s="379" t="n"/>
      <c r="AE4" s="380" t="n"/>
    </row>
    <row r="5" ht="2.25" customHeight="1" thickBot="1"/>
    <row r="6" ht="45.75" customHeight="1" thickBot="1">
      <c r="B6" s="334" t="inlineStr">
        <is>
          <t>PARAMETRO</t>
        </is>
      </c>
      <c r="C6" s="230" t="inlineStr">
        <is>
          <t>Coordenada Datum: WGS-84</t>
        </is>
      </c>
      <c r="D6" s="381" t="n"/>
      <c r="E6" s="230" t="inlineStr">
        <is>
          <t>Nº de Pozo de observación</t>
        </is>
      </c>
      <c r="F6" s="381" t="n"/>
      <c r="G6" s="332" t="inlineStr">
        <is>
          <t>Conductividad Eléctrica</t>
        </is>
      </c>
      <c r="H6" s="332" t="inlineStr">
        <is>
          <t>Ph</t>
        </is>
      </c>
      <c r="I6" s="226" t="inlineStr">
        <is>
          <t>Sólidos Totales  Disueltos</t>
        </is>
      </c>
      <c r="J6" s="227" t="inlineStr">
        <is>
          <t>Temperatura</t>
        </is>
      </c>
      <c r="K6" s="326" t="inlineStr">
        <is>
          <t xml:space="preserve">Turbidez </t>
        </is>
      </c>
      <c r="L6" s="263" t="inlineStr">
        <is>
          <t xml:space="preserve">Nitratos  (NO3-) </t>
        </is>
      </c>
      <c r="M6" s="227" t="inlineStr">
        <is>
          <t>Nitritos  (NO2-)</t>
        </is>
      </c>
      <c r="N6" s="334" t="inlineStr">
        <is>
          <t>Cobre (Cu)</t>
        </is>
      </c>
      <c r="O6" s="332" t="inlineStr">
        <is>
          <t>Cromo Hexavalente (Cr6+)</t>
        </is>
      </c>
      <c r="P6" s="334" t="inlineStr">
        <is>
          <t>Sulfatos  (SO₄²-)</t>
        </is>
      </c>
      <c r="Q6" s="334" t="inlineStr">
        <is>
          <t>Manganeso (Mn)</t>
        </is>
      </c>
      <c r="R6" s="334" t="inlineStr">
        <is>
          <t>Zinc (Zn)</t>
        </is>
      </c>
      <c r="S6" s="334" t="inlineStr">
        <is>
          <t>Hierro (Fe)</t>
        </is>
      </c>
      <c r="T6" s="227" t="inlineStr">
        <is>
          <t>Amonio 
(NH4) (*)</t>
        </is>
      </c>
      <c r="U6" s="227" t="inlineStr">
        <is>
          <t>Magnesio
(Mg) (*)</t>
        </is>
      </c>
      <c r="V6" s="227" t="inlineStr">
        <is>
          <t>Sodio
(Na) (*)</t>
        </is>
      </c>
      <c r="W6" s="227" t="inlineStr">
        <is>
          <t>Calcio
(Ca)</t>
        </is>
      </c>
      <c r="X6" s="332" t="inlineStr">
        <is>
          <t>Magnesio
(Mg) (*)
(me/L)</t>
        </is>
      </c>
      <c r="Y6" s="332" t="inlineStr">
        <is>
          <t>Sodio
(Na) (*)
(me/L)</t>
        </is>
      </c>
      <c r="Z6" s="332" t="inlineStr">
        <is>
          <t>Calcio
(Ca) (*)
(me/L)</t>
        </is>
      </c>
      <c r="AA6" s="332" t="inlineStr">
        <is>
          <t>CÁLCULO 
RAS
(Relación de Absorción de Sodio)</t>
        </is>
      </c>
      <c r="AB6" s="332" t="inlineStr">
        <is>
          <t>GRADO DE RESTRICCIÓN</t>
        </is>
      </c>
      <c r="AC6" s="227" t="inlineStr">
        <is>
          <t>Coliformes
Totales</t>
        </is>
      </c>
      <c r="AD6" s="227" t="inlineStr">
        <is>
          <t>Coliformes
Termotolerantes</t>
        </is>
      </c>
      <c r="AE6" s="227" t="inlineStr">
        <is>
          <t>Escherichia coli</t>
        </is>
      </c>
    </row>
    <row r="7" ht="15.75" customHeight="1" thickBot="1">
      <c r="B7" s="334" t="inlineStr">
        <is>
          <t>UM</t>
        </is>
      </c>
      <c r="C7" s="382" t="n"/>
      <c r="D7" s="383" t="n"/>
      <c r="E7" s="384" t="n"/>
      <c r="F7" s="385" t="n"/>
      <c r="G7" s="332" t="inlineStr">
        <is>
          <t>µmho/cm</t>
        </is>
      </c>
      <c r="H7" s="332" t="inlineStr">
        <is>
          <t>ph</t>
        </is>
      </c>
      <c r="I7" s="332" t="inlineStr">
        <is>
          <t>mgL-1</t>
        </is>
      </c>
      <c r="J7" s="333" t="inlineStr">
        <is>
          <t>°C</t>
        </is>
      </c>
      <c r="K7" s="332" t="inlineStr">
        <is>
          <t>NTU</t>
        </is>
      </c>
      <c r="L7" s="228" t="inlineStr">
        <is>
          <t>mg/L</t>
        </is>
      </c>
      <c r="M7" s="228" t="inlineStr">
        <is>
          <t>mg/L</t>
        </is>
      </c>
      <c r="N7" s="227" t="inlineStr">
        <is>
          <t>mg/L</t>
        </is>
      </c>
      <c r="O7" s="227" t="inlineStr">
        <is>
          <t>mg/L</t>
        </is>
      </c>
      <c r="P7" s="227" t="inlineStr">
        <is>
          <t>mg/L</t>
        </is>
      </c>
      <c r="Q7" s="227" t="inlineStr">
        <is>
          <t>mg/L</t>
        </is>
      </c>
      <c r="R7" s="227" t="inlineStr">
        <is>
          <t>mg/L</t>
        </is>
      </c>
      <c r="S7" s="332" t="inlineStr">
        <is>
          <t>mg/L</t>
        </is>
      </c>
      <c r="T7" s="332" t="inlineStr">
        <is>
          <t>mg/L</t>
        </is>
      </c>
      <c r="U7" s="332" t="inlineStr">
        <is>
          <t>mg/L</t>
        </is>
      </c>
      <c r="V7" s="332" t="inlineStr">
        <is>
          <t>mg/L</t>
        </is>
      </c>
      <c r="W7" s="332" t="inlineStr">
        <is>
          <t>mg/L</t>
        </is>
      </c>
      <c r="X7" s="386" t="n"/>
      <c r="Y7" s="386" t="n"/>
      <c r="Z7" s="386" t="n"/>
      <c r="AA7" s="386" t="n"/>
      <c r="AB7" s="386" t="n"/>
      <c r="AC7" s="332" t="inlineStr">
        <is>
          <t>UFC/100 ml</t>
        </is>
      </c>
      <c r="AD7" s="332" t="inlineStr">
        <is>
          <t>UFC/100 ml</t>
        </is>
      </c>
      <c r="AE7" s="332" t="inlineStr">
        <is>
          <t>UFC/100 ml</t>
        </is>
      </c>
    </row>
    <row r="8" ht="15.75" customHeight="1" thickBot="1">
      <c r="B8" s="230" t="inlineStr">
        <is>
          <t>DS N° 004-2017 MINAM</t>
        </is>
      </c>
      <c r="C8" s="382" t="n"/>
      <c r="D8" s="383" t="n"/>
      <c r="E8" s="260" t="inlineStr">
        <is>
          <t>Riego deVegetales</t>
        </is>
      </c>
      <c r="F8" s="380" t="n"/>
      <c r="G8" s="260" t="n">
        <v>2500</v>
      </c>
      <c r="H8" s="259" t="inlineStr">
        <is>
          <t>6,5 – 8,5</t>
        </is>
      </c>
      <c r="I8" s="260" t="inlineStr">
        <is>
          <t>-</t>
        </is>
      </c>
      <c r="J8" s="260" t="inlineStr">
        <is>
          <t>-</t>
        </is>
      </c>
      <c r="K8" s="260" t="inlineStr">
        <is>
          <t>-</t>
        </is>
      </c>
      <c r="L8" s="227" t="n">
        <v>100</v>
      </c>
      <c r="M8" s="260" t="n">
        <v>10</v>
      </c>
      <c r="N8" s="227" t="n">
        <v>0.2</v>
      </c>
      <c r="O8" s="227" t="inlineStr">
        <is>
          <t>0.1 (C.T)</t>
        </is>
      </c>
      <c r="P8" s="227" t="n">
        <v>1000</v>
      </c>
      <c r="Q8" s="227" t="n">
        <v>0.2</v>
      </c>
      <c r="R8" s="227" t="n">
        <v>2</v>
      </c>
      <c r="S8" s="260" t="n">
        <v>5</v>
      </c>
      <c r="T8" s="260" t="inlineStr">
        <is>
          <t>-</t>
        </is>
      </c>
      <c r="U8" s="260" t="inlineStr">
        <is>
          <t>-</t>
        </is>
      </c>
      <c r="V8" s="260" t="inlineStr">
        <is>
          <t>-</t>
        </is>
      </c>
      <c r="W8" s="260" t="inlineStr">
        <is>
          <t>-</t>
        </is>
      </c>
      <c r="X8" s="386" t="n"/>
      <c r="Y8" s="386" t="n"/>
      <c r="Z8" s="386" t="n"/>
      <c r="AA8" s="386" t="n"/>
      <c r="AB8" s="386" t="n"/>
      <c r="AC8" s="339" t="inlineStr">
        <is>
          <t>*</t>
        </is>
      </c>
      <c r="AD8" s="379" t="n"/>
      <c r="AE8" s="380" t="n"/>
    </row>
    <row r="9" ht="15.75" customHeight="1" thickBot="1">
      <c r="B9" s="387" t="n"/>
      <c r="C9" s="382" t="n"/>
      <c r="D9" s="383" t="n"/>
      <c r="E9" s="260" t="inlineStr">
        <is>
          <t>Consumo de Animales</t>
        </is>
      </c>
      <c r="F9" s="380" t="n"/>
      <c r="G9" s="261" t="n">
        <v>5000</v>
      </c>
      <c r="H9" s="332" t="inlineStr">
        <is>
          <t>6,5 – 8,4</t>
        </is>
      </c>
      <c r="I9" s="262" t="inlineStr">
        <is>
          <t>-</t>
        </is>
      </c>
      <c r="J9" s="262" t="inlineStr">
        <is>
          <t>-</t>
        </is>
      </c>
      <c r="K9" s="260" t="inlineStr">
        <is>
          <t>-</t>
        </is>
      </c>
      <c r="L9" s="227" t="n">
        <v>100</v>
      </c>
      <c r="M9" s="260" t="n">
        <v>10</v>
      </c>
      <c r="N9" s="227" t="n">
        <v>0.5</v>
      </c>
      <c r="O9" s="227" t="inlineStr">
        <is>
          <t>1  (C.T)</t>
        </is>
      </c>
      <c r="P9" s="227" t="n">
        <v>1000</v>
      </c>
      <c r="Q9" s="227" t="n">
        <v>0.2</v>
      </c>
      <c r="R9" s="227" t="n">
        <v>24</v>
      </c>
      <c r="S9" s="260" t="inlineStr">
        <is>
          <t>-</t>
        </is>
      </c>
      <c r="T9" s="260" t="inlineStr">
        <is>
          <t>-</t>
        </is>
      </c>
      <c r="U9" s="227" t="n">
        <v>250</v>
      </c>
      <c r="V9" s="260" t="inlineStr">
        <is>
          <t>-</t>
        </is>
      </c>
      <c r="W9" s="260" t="inlineStr">
        <is>
          <t>-</t>
        </is>
      </c>
      <c r="X9" s="386" t="n"/>
      <c r="Y9" s="386" t="n"/>
      <c r="Z9" s="386" t="n"/>
      <c r="AA9" s="386" t="n"/>
      <c r="AB9" s="386" t="n"/>
      <c r="AC9" s="339" t="inlineStr">
        <is>
          <t>*</t>
        </is>
      </c>
      <c r="AD9" s="379" t="n"/>
      <c r="AE9" s="380" t="n"/>
    </row>
    <row r="10" ht="15.75" customHeight="1" thickBot="1">
      <c r="B10" s="230" t="inlineStr">
        <is>
          <t>DS N° 031-2010-SA.</t>
        </is>
      </c>
      <c r="C10" s="384" t="n"/>
      <c r="D10" s="385" t="n"/>
      <c r="E10" s="260" t="inlineStr">
        <is>
          <t>Consumo Humano</t>
        </is>
      </c>
      <c r="F10" s="380" t="n"/>
      <c r="G10" s="332" t="inlineStr">
        <is>
          <t>1 500</t>
        </is>
      </c>
      <c r="H10" s="332" t="inlineStr">
        <is>
          <t>6.5-8.5</t>
        </is>
      </c>
      <c r="I10" s="332" t="inlineStr">
        <is>
          <t>1 000</t>
        </is>
      </c>
      <c r="J10" s="231" t="inlineStr">
        <is>
          <t>-</t>
        </is>
      </c>
      <c r="K10" s="334" t="n">
        <v>5</v>
      </c>
      <c r="L10" s="334" t="n">
        <v>50</v>
      </c>
      <c r="M10" s="334" t="n">
        <v>3</v>
      </c>
      <c r="N10" s="332" t="n">
        <v>2</v>
      </c>
      <c r="O10" s="332" t="n">
        <v>0.05</v>
      </c>
      <c r="P10" s="334" t="n">
        <v>250</v>
      </c>
      <c r="Q10" s="334" t="n">
        <v>0.4</v>
      </c>
      <c r="R10" s="334" t="n">
        <v>3</v>
      </c>
      <c r="S10" s="332" t="n">
        <v>0.3</v>
      </c>
      <c r="T10" s="332" t="inlineStr">
        <is>
          <t>-</t>
        </is>
      </c>
      <c r="U10" s="332" t="inlineStr">
        <is>
          <t>-</t>
        </is>
      </c>
      <c r="V10" s="332" t="n">
        <v>200</v>
      </c>
      <c r="W10" s="332" t="inlineStr">
        <is>
          <t>-</t>
        </is>
      </c>
      <c r="X10" s="386" t="n"/>
      <c r="Y10" s="386" t="n"/>
      <c r="Z10" s="386" t="n"/>
      <c r="AA10" s="386" t="n"/>
      <c r="AB10" s="386" t="n"/>
      <c r="AC10" s="332" t="n">
        <v>0</v>
      </c>
      <c r="AD10" s="332" t="n">
        <v>0</v>
      </c>
      <c r="AE10" s="332" t="n">
        <v>0</v>
      </c>
    </row>
    <row r="11" ht="15.75" customFormat="1" customHeight="1" s="301" thickBot="1">
      <c r="B11" s="291" t="inlineStr">
        <is>
          <t>M1</t>
        </is>
      </c>
      <c r="C11" s="291" t="n"/>
      <c r="D11" s="291" t="n"/>
      <c r="E11" s="291" t="n"/>
      <c r="F11" s="292" t="n"/>
      <c r="G11" s="388" t="n"/>
      <c r="H11" s="389" t="n"/>
      <c r="I11" s="390" t="n"/>
      <c r="J11" s="391" t="n"/>
      <c r="K11" s="271" t="n"/>
      <c r="L11" s="272" t="n"/>
      <c r="M11" s="271" t="n"/>
      <c r="N11" s="392" t="n"/>
      <c r="O11" s="392" t="n"/>
      <c r="P11" s="275" t="n"/>
      <c r="Q11" s="283" t="n"/>
      <c r="R11" s="392" t="n"/>
      <c r="S11" s="276" t="n"/>
      <c r="T11" s="277" t="n"/>
      <c r="U11" s="272" t="n"/>
      <c r="V11" s="278" t="n"/>
      <c r="W11" s="279" t="n"/>
      <c r="X11" s="391">
        <f>(U11/($U$2/$U$3))</f>
        <v/>
      </c>
      <c r="Y11" s="391">
        <f>(V11/($V$2/$V$3))</f>
        <v/>
      </c>
      <c r="Z11" s="391">
        <f>(W11/($W$2/$W$3))</f>
        <v/>
      </c>
      <c r="AA11" s="391">
        <f>(Y11)/SQRT(((Z11+X11)/2))</f>
        <v/>
      </c>
      <c r="AB11" s="391">
        <f>IF(AA11&lt;3,"NINGUNO",IF(AA11&lt;=9,"LEVE O MODERADO","SEVERO"))</f>
        <v/>
      </c>
      <c r="AC11" s="280">
        <f>5*5</f>
        <v/>
      </c>
      <c r="AD11" s="280" t="n">
        <v>1</v>
      </c>
      <c r="AE11" s="280" t="n">
        <v>1</v>
      </c>
    </row>
    <row r="12" ht="15.75" customFormat="1" customHeight="1" s="302" thickBot="1">
      <c r="B12" s="237" t="inlineStr">
        <is>
          <t>M2</t>
        </is>
      </c>
      <c r="C12" s="237" t="n"/>
      <c r="D12" s="237" t="n"/>
      <c r="E12" s="237" t="n"/>
      <c r="F12" s="220" t="n"/>
      <c r="G12" s="393" t="n"/>
      <c r="H12" s="394" t="n"/>
      <c r="I12" s="395" t="n"/>
      <c r="J12" s="396" t="n"/>
      <c r="K12" s="247" t="n"/>
      <c r="L12" s="246" t="n"/>
      <c r="M12" s="247" t="n"/>
      <c r="N12" s="394" t="n"/>
      <c r="O12" s="394" t="n"/>
      <c r="P12" s="234" t="n"/>
      <c r="Q12" s="397" t="n"/>
      <c r="R12" s="394" t="n"/>
      <c r="S12" s="254" t="n"/>
      <c r="T12" s="248" t="n"/>
      <c r="U12" s="246" t="n"/>
      <c r="V12" s="255" t="n"/>
      <c r="W12" s="238" t="n"/>
      <c r="X12" s="396">
        <f>(U12/($U$2/$U$3))</f>
        <v/>
      </c>
      <c r="Y12" s="396">
        <f>(V12/($V$2/$V$3))</f>
        <v/>
      </c>
      <c r="Z12" s="396">
        <f>(W12/($W$2/$W$3))</f>
        <v/>
      </c>
      <c r="AA12" s="396">
        <f>(Y12)/SQRT(((Z12+X12)/2))</f>
        <v/>
      </c>
      <c r="AB12" s="396">
        <f>IF(AA12&lt;3,"NINGUNO",IF(AA12&lt;=9,"LEVE O MODERADO","SEVERO"))</f>
        <v/>
      </c>
      <c r="AC12" s="238" t="inlineStr">
        <is>
          <t>-</t>
        </is>
      </c>
      <c r="AD12" s="238" t="inlineStr">
        <is>
          <t>-</t>
        </is>
      </c>
      <c r="AE12" s="238" t="inlineStr">
        <is>
          <t>-</t>
        </is>
      </c>
    </row>
    <row r="13" ht="15.75" customFormat="1" customHeight="1" s="302" thickBot="1">
      <c r="B13" s="237" t="inlineStr">
        <is>
          <t>M3</t>
        </is>
      </c>
      <c r="C13" s="237" t="n"/>
      <c r="D13" s="237" t="n"/>
      <c r="E13" s="237" t="n"/>
      <c r="F13" s="220" t="n"/>
      <c r="G13" s="393" t="n"/>
      <c r="H13" s="397" t="n"/>
      <c r="I13" s="395" t="n"/>
      <c r="J13" s="398" t="n"/>
      <c r="K13" s="247" t="n"/>
      <c r="L13" s="246" t="n"/>
      <c r="M13" s="247" t="n"/>
      <c r="N13" s="394" t="n"/>
      <c r="O13" s="250" t="n"/>
      <c r="P13" s="234" t="n"/>
      <c r="Q13" s="258" t="n"/>
      <c r="R13" s="394" t="n"/>
      <c r="S13" s="254" t="n"/>
      <c r="T13" s="248" t="n"/>
      <c r="U13" s="246" t="n"/>
      <c r="V13" s="255" t="n"/>
      <c r="W13" s="238" t="n"/>
      <c r="X13" s="396">
        <f>(U13/($U$2/$U$3))</f>
        <v/>
      </c>
      <c r="Y13" s="396">
        <f>(V13/($V$2/$V$3))</f>
        <v/>
      </c>
      <c r="Z13" s="396">
        <f>(W13/($W$2/$W$3))</f>
        <v/>
      </c>
      <c r="AA13" s="396">
        <f>(Y13)/SQRT(((Z13+X13)/2))</f>
        <v/>
      </c>
      <c r="AB13" s="396">
        <f>IF(AA13&lt;3,"NINGUNO",IF(AA13&lt;=9,"LEVE O MODERADO","SEVERO"))</f>
        <v/>
      </c>
      <c r="AC13" s="238" t="inlineStr">
        <is>
          <t>-</t>
        </is>
      </c>
      <c r="AD13" s="238" t="inlineStr">
        <is>
          <t>-</t>
        </is>
      </c>
      <c r="AE13" s="238" t="inlineStr">
        <is>
          <t>-</t>
        </is>
      </c>
    </row>
    <row r="14" ht="15.75" customFormat="1" customHeight="1" s="302" thickBot="1">
      <c r="B14" s="237" t="inlineStr">
        <is>
          <t>M4</t>
        </is>
      </c>
      <c r="C14" s="237" t="n"/>
      <c r="D14" s="237" t="n"/>
      <c r="E14" s="237" t="n"/>
      <c r="F14" s="220" t="n"/>
      <c r="G14" s="399" t="n"/>
      <c r="H14" s="394" t="n"/>
      <c r="I14" s="395" t="n"/>
      <c r="J14" s="396" t="n"/>
      <c r="K14" s="247" t="n"/>
      <c r="L14" s="246" t="n"/>
      <c r="M14" s="247" t="n"/>
      <c r="N14" s="394" t="n"/>
      <c r="O14" s="394" t="n"/>
      <c r="P14" s="234" t="n"/>
      <c r="Q14" s="258" t="n"/>
      <c r="R14" s="394" t="n"/>
      <c r="S14" s="254" t="n"/>
      <c r="T14" s="248" t="n"/>
      <c r="U14" s="246" t="n"/>
      <c r="V14" s="255" t="n"/>
      <c r="W14" s="238" t="n"/>
      <c r="X14" s="396">
        <f>(U14/($U$2/$U$3))</f>
        <v/>
      </c>
      <c r="Y14" s="396">
        <f>(V14/($V$2/$V$3))</f>
        <v/>
      </c>
      <c r="Z14" s="396">
        <f>(W14/($W$2/$W$3))</f>
        <v/>
      </c>
      <c r="AA14" s="396">
        <f>(Y14)/SQRT(((Z14+X14)/2))</f>
        <v/>
      </c>
      <c r="AB14" s="396">
        <f>IF(AA14&lt;3,"NINGUNO",IF(AA14&lt;=9,"LEVE O MODERADO","SEVERO"))</f>
        <v/>
      </c>
      <c r="AC14" s="238" t="inlineStr">
        <is>
          <t>-</t>
        </is>
      </c>
      <c r="AD14" s="238" t="inlineStr">
        <is>
          <t>-</t>
        </is>
      </c>
      <c r="AE14" s="238" t="inlineStr">
        <is>
          <t>-</t>
        </is>
      </c>
    </row>
    <row r="15" ht="15.75" customFormat="1" customHeight="1" s="302" thickBot="1">
      <c r="B15" s="237" t="inlineStr">
        <is>
          <t>M5</t>
        </is>
      </c>
      <c r="C15" s="237" t="n"/>
      <c r="D15" s="237" t="n"/>
      <c r="E15" s="237" t="n"/>
      <c r="F15" s="220" t="n"/>
      <c r="G15" s="399" t="n"/>
      <c r="H15" s="394" t="n"/>
      <c r="I15" s="395" t="n"/>
      <c r="J15" s="396" t="n"/>
      <c r="K15" s="247" t="n"/>
      <c r="L15" s="246" t="n"/>
      <c r="M15" s="247" t="n"/>
      <c r="N15" s="394" t="n"/>
      <c r="O15" s="250" t="n"/>
      <c r="P15" s="234" t="n"/>
      <c r="Q15" s="397" t="n"/>
      <c r="R15" s="394" t="n"/>
      <c r="S15" s="254" t="n"/>
      <c r="T15" s="248" t="n"/>
      <c r="U15" s="246" t="n"/>
      <c r="V15" s="255" t="n"/>
      <c r="W15" s="238" t="n"/>
      <c r="X15" s="396">
        <f>(U15/($U$2/$U$3))</f>
        <v/>
      </c>
      <c r="Y15" s="396">
        <f>(V15/($V$2/$V$3))</f>
        <v/>
      </c>
      <c r="Z15" s="396">
        <f>(W15/($W$2/$W$3))</f>
        <v/>
      </c>
      <c r="AA15" s="396">
        <f>(Y15)/SQRT(((Z15+X15)/2))</f>
        <v/>
      </c>
      <c r="AB15" s="396">
        <f>IF(AA15&lt;3,"NINGUNO",IF(AA15&lt;=9,"LEVE O MODERADO","SEVERO"))</f>
        <v/>
      </c>
      <c r="AC15" s="238" t="inlineStr">
        <is>
          <t>-</t>
        </is>
      </c>
      <c r="AD15" s="238" t="inlineStr">
        <is>
          <t>-</t>
        </is>
      </c>
      <c r="AE15" s="238" t="inlineStr">
        <is>
          <t>-</t>
        </is>
      </c>
    </row>
    <row r="16" ht="15.75" customFormat="1" customHeight="1" s="301" thickBot="1">
      <c r="B16" s="265" t="inlineStr">
        <is>
          <t>M6</t>
        </is>
      </c>
      <c r="C16" s="265" t="n"/>
      <c r="D16" s="265" t="n"/>
      <c r="E16" s="265" t="n"/>
      <c r="F16" s="266" t="n"/>
      <c r="G16" s="400" t="n"/>
      <c r="H16" s="392" t="n"/>
      <c r="I16" s="401" t="n"/>
      <c r="J16" s="391" t="n"/>
      <c r="K16" s="271" t="n"/>
      <c r="L16" s="272" t="n"/>
      <c r="M16" s="271" t="n"/>
      <c r="N16" s="392" t="n"/>
      <c r="O16" s="274" t="n"/>
      <c r="P16" s="275" t="n"/>
      <c r="Q16" s="283" t="n"/>
      <c r="R16" s="392" t="n"/>
      <c r="S16" s="276" t="n"/>
      <c r="T16" s="277" t="n"/>
      <c r="U16" s="272" t="n"/>
      <c r="V16" s="278" t="n"/>
      <c r="W16" s="279" t="n"/>
      <c r="X16" s="391">
        <f>(U16/($U$2/$U$3))</f>
        <v/>
      </c>
      <c r="Y16" s="391">
        <f>(V16/($V$2/$V$3))</f>
        <v/>
      </c>
      <c r="Z16" s="391">
        <f>(W16/($W$2/$W$3))</f>
        <v/>
      </c>
      <c r="AA16" s="391">
        <f>(Y16)/SQRT(((Z16+X16)/2))</f>
        <v/>
      </c>
      <c r="AB16" s="391">
        <f>IF(AA16&lt;3,"NINGUNO",IF(AA16&lt;=9,"LEVE O MODERADO","SEVERO"))</f>
        <v/>
      </c>
      <c r="AC16" s="280" t="n">
        <v>60</v>
      </c>
      <c r="AD16" s="281" t="n">
        <v>0</v>
      </c>
      <c r="AE16" s="281" t="n">
        <v>0</v>
      </c>
    </row>
    <row r="17" ht="15.75" customFormat="1" customHeight="1" s="302" thickBot="1">
      <c r="B17" s="237" t="inlineStr">
        <is>
          <t>M7</t>
        </is>
      </c>
      <c r="C17" s="237" t="n"/>
      <c r="D17" s="237" t="n"/>
      <c r="E17" s="237" t="n"/>
      <c r="F17" s="220" t="n"/>
      <c r="G17" s="399" t="n"/>
      <c r="H17" s="394" t="n"/>
      <c r="I17" s="395" t="n"/>
      <c r="J17" s="396" t="n"/>
      <c r="K17" s="247" t="n"/>
      <c r="L17" s="246" t="n"/>
      <c r="M17" s="247" t="n"/>
      <c r="N17" s="394" t="n"/>
      <c r="O17" s="250" t="n"/>
      <c r="P17" s="234" t="n"/>
      <c r="Q17" s="258" t="n"/>
      <c r="R17" s="394" t="n"/>
      <c r="S17" s="254" t="n"/>
      <c r="T17" s="248" t="n"/>
      <c r="U17" s="246" t="n"/>
      <c r="V17" s="255" t="n"/>
      <c r="W17" s="238" t="n"/>
      <c r="X17" s="396">
        <f>(U17/($U$2/$U$3))</f>
        <v/>
      </c>
      <c r="Y17" s="396">
        <f>(V17/($V$2/$V$3))</f>
        <v/>
      </c>
      <c r="Z17" s="396">
        <f>(W17/($W$2/$W$3))</f>
        <v/>
      </c>
      <c r="AA17" s="396">
        <f>(Y17)/SQRT(((Z17+X17)/2))</f>
        <v/>
      </c>
      <c r="AB17" s="396">
        <f>IF(AA17&lt;3,"NINGUNO",IF(AA17&lt;=9,"LEVE O MODERADO","SEVERO"))</f>
        <v/>
      </c>
      <c r="AC17" s="238" t="inlineStr">
        <is>
          <t>-</t>
        </is>
      </c>
      <c r="AD17" s="238" t="inlineStr">
        <is>
          <t>-</t>
        </is>
      </c>
      <c r="AE17" s="238" t="inlineStr">
        <is>
          <t>-</t>
        </is>
      </c>
    </row>
    <row r="18" ht="15.75" customFormat="1" customHeight="1" s="301" thickBot="1">
      <c r="B18" s="265" t="inlineStr">
        <is>
          <t>M8</t>
        </is>
      </c>
      <c r="C18" s="265" t="n"/>
      <c r="D18" s="265" t="n"/>
      <c r="E18" s="265" t="n"/>
      <c r="F18" s="266" t="n"/>
      <c r="G18" s="400" t="n"/>
      <c r="H18" s="392" t="n"/>
      <c r="I18" s="401" t="n"/>
      <c r="J18" s="391" t="n"/>
      <c r="K18" s="271" t="n"/>
      <c r="L18" s="272" t="n"/>
      <c r="M18" s="271" t="n"/>
      <c r="N18" s="392" t="n"/>
      <c r="O18" s="274" t="n"/>
      <c r="P18" s="275" t="n"/>
      <c r="Q18" s="283" t="n"/>
      <c r="R18" s="392" t="n"/>
      <c r="S18" s="276" t="n"/>
      <c r="T18" s="277" t="n"/>
      <c r="U18" s="272" t="n"/>
      <c r="V18" s="278" t="n"/>
      <c r="W18" s="279" t="n"/>
      <c r="X18" s="391">
        <f>(U18/($U$2/$U$3))</f>
        <v/>
      </c>
      <c r="Y18" s="391">
        <f>(V18/($V$2/$V$3))</f>
        <v/>
      </c>
      <c r="Z18" s="391">
        <f>(W18/($W$2/$W$3))</f>
        <v/>
      </c>
      <c r="AA18" s="391">
        <f>(Y18)/SQRT(((Z18+X18)/2))</f>
        <v/>
      </c>
      <c r="AB18" s="391">
        <f>IF(AA18&lt;3,"NINGUNO",IF(AA18&lt;=9,"LEVE O MODERADO","SEVERO"))</f>
        <v/>
      </c>
      <c r="AC18" s="280" t="n">
        <v>40</v>
      </c>
      <c r="AD18" s="280" t="n">
        <v>2</v>
      </c>
      <c r="AE18" s="280" t="n">
        <v>2</v>
      </c>
    </row>
    <row r="19" ht="15.75" customFormat="1" customHeight="1" s="301" thickBot="1">
      <c r="B19" s="265" t="inlineStr">
        <is>
          <t>M9</t>
        </is>
      </c>
      <c r="C19" s="265" t="n"/>
      <c r="D19" s="265" t="n"/>
      <c r="E19" s="265" t="n"/>
      <c r="F19" s="266" t="n"/>
      <c r="G19" s="400" t="n"/>
      <c r="H19" s="392" t="n"/>
      <c r="I19" s="401" t="n"/>
      <c r="J19" s="391" t="n"/>
      <c r="K19" s="271" t="n"/>
      <c r="L19" s="272" t="n"/>
      <c r="M19" s="271" t="n"/>
      <c r="N19" s="392" t="n"/>
      <c r="O19" s="274" t="n"/>
      <c r="P19" s="275" t="n"/>
      <c r="Q19" s="402" t="n"/>
      <c r="R19" s="392" t="n"/>
      <c r="S19" s="276" t="n"/>
      <c r="T19" s="277" t="n"/>
      <c r="U19" s="272" t="n"/>
      <c r="V19" s="278" t="n"/>
      <c r="W19" s="279" t="n"/>
      <c r="X19" s="391">
        <f>(U19/($U$2/$U$3))</f>
        <v/>
      </c>
      <c r="Y19" s="391">
        <f>(V19/($V$2/$V$3))</f>
        <v/>
      </c>
      <c r="Z19" s="391">
        <f>(W19/($W$2/$W$3))</f>
        <v/>
      </c>
      <c r="AA19" s="391">
        <f>(Y19)/SQRT(((Z19+X19)/2))</f>
        <v/>
      </c>
      <c r="AB19" s="391">
        <f>IF(AA19&lt;3,"NINGUNO",IF(AA19&lt;=9,"LEVE O MODERADO","SEVERO"))</f>
        <v/>
      </c>
      <c r="AC19" s="280" t="n">
        <v>50</v>
      </c>
      <c r="AD19" s="281" t="n">
        <v>0</v>
      </c>
      <c r="AE19" s="281" t="n">
        <v>0</v>
      </c>
    </row>
    <row r="20" ht="15.75" customFormat="1" customHeight="1" s="301" thickBot="1">
      <c r="B20" s="265" t="inlineStr">
        <is>
          <t>M10</t>
        </is>
      </c>
      <c r="C20" s="265" t="n"/>
      <c r="D20" s="265" t="n"/>
      <c r="E20" s="265" t="n"/>
      <c r="F20" s="266" t="n"/>
      <c r="G20" s="400" t="n"/>
      <c r="H20" s="392" t="n"/>
      <c r="I20" s="401" t="n"/>
      <c r="J20" s="391" t="n"/>
      <c r="K20" s="271" t="n"/>
      <c r="L20" s="272" t="n"/>
      <c r="M20" s="271" t="n"/>
      <c r="N20" s="392" t="n"/>
      <c r="O20" s="274" t="n"/>
      <c r="P20" s="275" t="n"/>
      <c r="Q20" s="283" t="n"/>
      <c r="R20" s="392" t="n"/>
      <c r="S20" s="276" t="n"/>
      <c r="T20" s="277" t="n"/>
      <c r="U20" s="272" t="n"/>
      <c r="V20" s="278" t="n"/>
      <c r="W20" s="279" t="n"/>
      <c r="X20" s="391">
        <f>(U20/($U$2/$U$3))</f>
        <v/>
      </c>
      <c r="Y20" s="391">
        <f>(V20/($V$2/$V$3))</f>
        <v/>
      </c>
      <c r="Z20" s="391">
        <f>(W20/($W$2/$W$3))</f>
        <v/>
      </c>
      <c r="AA20" s="391">
        <f>(Y20)/SQRT(((Z20+X20)/2))</f>
        <v/>
      </c>
      <c r="AB20" s="391">
        <f>IF(AA20&lt;3,"NINGUNO",IF(AA20&lt;=9,"LEVE O MODERADO","SEVERO"))</f>
        <v/>
      </c>
      <c r="AC20" s="280" t="n">
        <v>70</v>
      </c>
      <c r="AD20" s="281" t="n">
        <v>0</v>
      </c>
      <c r="AE20" s="281" t="n">
        <v>0</v>
      </c>
    </row>
    <row r="21" ht="15.75" customFormat="1" customHeight="1" s="301" thickBot="1">
      <c r="B21" s="265" t="inlineStr">
        <is>
          <t>M11</t>
        </is>
      </c>
      <c r="C21" s="265" t="n"/>
      <c r="D21" s="265" t="n"/>
      <c r="E21" s="265" t="n"/>
      <c r="F21" s="266" t="n"/>
      <c r="G21" s="400" t="n"/>
      <c r="H21" s="392" t="n"/>
      <c r="I21" s="401" t="n"/>
      <c r="J21" s="391" t="n"/>
      <c r="K21" s="272" t="n"/>
      <c r="L21" s="272" t="n"/>
      <c r="M21" s="271" t="n"/>
      <c r="N21" s="392" t="n"/>
      <c r="O21" s="392" t="n"/>
      <c r="P21" s="275" t="n"/>
      <c r="Q21" s="283" t="n"/>
      <c r="R21" s="392" t="n"/>
      <c r="S21" s="276" t="n"/>
      <c r="T21" s="277" t="n"/>
      <c r="U21" s="272" t="n"/>
      <c r="V21" s="278" t="n"/>
      <c r="W21" s="279" t="n"/>
      <c r="X21" s="391">
        <f>(U21/($U$2/$U$3))</f>
        <v/>
      </c>
      <c r="Y21" s="391">
        <f>(V21/($V$2/$V$3))</f>
        <v/>
      </c>
      <c r="Z21" s="391">
        <f>(W21/($W$2/$W$3))</f>
        <v/>
      </c>
      <c r="AA21" s="391">
        <f>(Y21)/SQRT(((Z21+X21)/2))</f>
        <v/>
      </c>
      <c r="AB21" s="391">
        <f>IF(AA21&lt;3,"NINGUNO",IF(AA21&lt;=9,"LEVE O MODERADO","SEVERO"))</f>
        <v/>
      </c>
      <c r="AC21" s="280" t="n">
        <v>50</v>
      </c>
      <c r="AD21" s="280" t="n">
        <v>5</v>
      </c>
      <c r="AE21" s="280" t="n">
        <v>5</v>
      </c>
    </row>
    <row r="22" ht="15.75" customFormat="1" customHeight="1" s="302" thickBot="1">
      <c r="B22" s="237" t="inlineStr">
        <is>
          <t>M12</t>
        </is>
      </c>
      <c r="C22" s="237" t="n"/>
      <c r="D22" s="237" t="n"/>
      <c r="E22" s="237" t="n"/>
      <c r="F22" s="220" t="n"/>
      <c r="G22" s="393" t="n"/>
      <c r="H22" s="394" t="n"/>
      <c r="I22" s="395" t="n"/>
      <c r="J22" s="396" t="n"/>
      <c r="K22" s="247" t="n"/>
      <c r="L22" s="246" t="n"/>
      <c r="M22" s="247" t="n"/>
      <c r="N22" s="394" t="n"/>
      <c r="O22" s="250" t="n"/>
      <c r="P22" s="234" t="n"/>
      <c r="Q22" s="258" t="n"/>
      <c r="R22" s="394" t="n"/>
      <c r="S22" s="254" t="n"/>
      <c r="T22" s="248" t="n"/>
      <c r="U22" s="246" t="n"/>
      <c r="V22" s="255" t="n"/>
      <c r="W22" s="238" t="n"/>
      <c r="X22" s="396">
        <f>(U22/($U$2/$U$3))</f>
        <v/>
      </c>
      <c r="Y22" s="396">
        <f>(V22/($V$2/$V$3))</f>
        <v/>
      </c>
      <c r="Z22" s="396">
        <f>(W22/($W$2/$W$3))</f>
        <v/>
      </c>
      <c r="AA22" s="396">
        <f>(Y22)/SQRT(((Z22+X22)/2))</f>
        <v/>
      </c>
      <c r="AB22" s="396">
        <f>IF(AA22&lt;3,"NINGUNO",IF(AA22&lt;=9,"LEVE O MODERADO","SEVERO"))</f>
        <v/>
      </c>
      <c r="AC22" s="253" t="inlineStr">
        <is>
          <t>-</t>
        </is>
      </c>
      <c r="AD22" s="253" t="inlineStr">
        <is>
          <t>-</t>
        </is>
      </c>
      <c r="AE22" s="253" t="inlineStr">
        <is>
          <t>-</t>
        </is>
      </c>
    </row>
    <row r="23" ht="15.75" customFormat="1" customHeight="1" s="301" thickBot="1">
      <c r="B23" s="265" t="inlineStr">
        <is>
          <t>M13</t>
        </is>
      </c>
      <c r="C23" s="265" t="n"/>
      <c r="D23" s="265" t="n"/>
      <c r="E23" s="265" t="n"/>
      <c r="F23" s="266" t="n"/>
      <c r="G23" s="400" t="n"/>
      <c r="H23" s="392" t="n"/>
      <c r="I23" s="401" t="n"/>
      <c r="J23" s="391" t="n"/>
      <c r="K23" s="272" t="n"/>
      <c r="L23" s="272" t="n"/>
      <c r="M23" s="271" t="n"/>
      <c r="N23" s="392" t="n"/>
      <c r="O23" s="274" t="n"/>
      <c r="P23" s="275" t="n"/>
      <c r="Q23" s="283" t="n"/>
      <c r="R23" s="392" t="n"/>
      <c r="S23" s="276" t="n"/>
      <c r="T23" s="277" t="n"/>
      <c r="U23" s="272" t="n"/>
      <c r="V23" s="278" t="n"/>
      <c r="W23" s="279" t="n"/>
      <c r="X23" s="391">
        <f>(U23/($U$2/$U$3))</f>
        <v/>
      </c>
      <c r="Y23" s="391">
        <f>(V23/($V$2/$V$3))</f>
        <v/>
      </c>
      <c r="Z23" s="391">
        <f>(W23/($W$2/$W$3))</f>
        <v/>
      </c>
      <c r="AA23" s="391">
        <f>(Y23)/SQRT(((Z23+X23)/2))</f>
        <v/>
      </c>
      <c r="AB23" s="391">
        <f>IF(AA23&lt;3,"NINGUNO",IF(AA23&lt;=9,"LEVE O MODERADO","SEVERO"))</f>
        <v/>
      </c>
      <c r="AC23" s="280" t="n">
        <v>20</v>
      </c>
      <c r="AD23" s="281" t="n">
        <v>0</v>
      </c>
      <c r="AE23" s="281" t="n">
        <v>0</v>
      </c>
    </row>
    <row r="24" ht="15.75" customFormat="1" customHeight="1" s="302" thickBot="1">
      <c r="B24" s="237" t="inlineStr">
        <is>
          <t>M14</t>
        </is>
      </c>
      <c r="C24" s="237" t="n"/>
      <c r="D24" s="237" t="n"/>
      <c r="E24" s="237" t="n"/>
      <c r="F24" s="220" t="n"/>
      <c r="G24" s="393" t="n"/>
      <c r="H24" s="394" t="n"/>
      <c r="I24" s="395" t="n"/>
      <c r="J24" s="396" t="n"/>
      <c r="K24" s="246" t="n"/>
      <c r="L24" s="246" t="n"/>
      <c r="M24" s="247" t="n"/>
      <c r="N24" s="394" t="n"/>
      <c r="O24" s="250" t="n"/>
      <c r="P24" s="234" t="n"/>
      <c r="Q24" s="258" t="n"/>
      <c r="R24" s="394" t="n"/>
      <c r="S24" s="254" t="n"/>
      <c r="T24" s="248" t="n"/>
      <c r="U24" s="246" t="n"/>
      <c r="V24" s="255" t="n"/>
      <c r="W24" s="238" t="n"/>
      <c r="X24" s="396">
        <f>(U24/($U$2/$U$3))</f>
        <v/>
      </c>
      <c r="Y24" s="396">
        <f>(V24/($V$2/$V$3))</f>
        <v/>
      </c>
      <c r="Z24" s="396">
        <f>(W24/($W$2/$W$3))</f>
        <v/>
      </c>
      <c r="AA24" s="396">
        <f>(Y24)/SQRT(((Z24+X24)/2))</f>
        <v/>
      </c>
      <c r="AB24" s="396">
        <f>IF(AA24&lt;3,"NINGUNO",IF(AA24&lt;=9,"LEVE O MODERADO","SEVERO"))</f>
        <v/>
      </c>
      <c r="AC24" s="264" t="inlineStr">
        <is>
          <t>-</t>
        </is>
      </c>
      <c r="AD24" s="238" t="inlineStr">
        <is>
          <t>-</t>
        </is>
      </c>
      <c r="AE24" s="238" t="inlineStr">
        <is>
          <t>-</t>
        </is>
      </c>
    </row>
    <row r="25" ht="15.75" customFormat="1" customHeight="1" s="301" thickBot="1">
      <c r="B25" s="265" t="inlineStr">
        <is>
          <t>M15</t>
        </is>
      </c>
      <c r="C25" s="265" t="n"/>
      <c r="D25" s="265" t="n"/>
      <c r="E25" s="265" t="n"/>
      <c r="F25" s="266" t="n"/>
      <c r="G25" s="403" t="n"/>
      <c r="H25" s="392" t="n"/>
      <c r="I25" s="401" t="n"/>
      <c r="J25" s="404" t="n"/>
      <c r="K25" s="392" t="n"/>
      <c r="L25" s="272" t="n"/>
      <c r="M25" s="271" t="n"/>
      <c r="N25" s="392" t="n"/>
      <c r="O25" s="392" t="n"/>
      <c r="P25" s="275" t="n"/>
      <c r="Q25" s="283" t="n"/>
      <c r="R25" s="392" t="n"/>
      <c r="S25" s="276" t="n"/>
      <c r="T25" s="277" t="n"/>
      <c r="U25" s="272" t="n"/>
      <c r="V25" s="278" t="n"/>
      <c r="W25" s="279" t="n"/>
      <c r="X25" s="391">
        <f>(U25/($U$2/$U$3))</f>
        <v/>
      </c>
      <c r="Y25" s="391">
        <f>(V25/($V$2/$V$3))</f>
        <v/>
      </c>
      <c r="Z25" s="391">
        <f>(W25/($W$2/$W$3))</f>
        <v/>
      </c>
      <c r="AA25" s="391">
        <f>(Y25)/SQRT(((Z25+X25)/2))</f>
        <v/>
      </c>
      <c r="AB25" s="391">
        <f>IF(AA25&lt;3,"NINGUNO",IF(AA25&lt;=9,"LEVE O MODERADO","SEVERO"))</f>
        <v/>
      </c>
      <c r="AC25" s="280" t="n">
        <v>50</v>
      </c>
      <c r="AD25" s="281" t="n">
        <v>0</v>
      </c>
      <c r="AE25" s="281" t="n">
        <v>0</v>
      </c>
    </row>
    <row r="26" ht="15.75" customFormat="1" customHeight="1" s="301" thickBot="1">
      <c r="B26" s="265" t="inlineStr">
        <is>
          <t>M16</t>
        </is>
      </c>
      <c r="C26" s="265" t="n"/>
      <c r="D26" s="265" t="n"/>
      <c r="E26" s="265" t="n"/>
      <c r="F26" s="266" t="n"/>
      <c r="G26" s="405" t="n"/>
      <c r="H26" s="406" t="n"/>
      <c r="I26" s="407" t="n"/>
      <c r="J26" s="406" t="n"/>
      <c r="K26" s="271" t="n"/>
      <c r="L26" s="272" t="n"/>
      <c r="M26" s="271" t="n"/>
      <c r="N26" s="406" t="n"/>
      <c r="O26" s="392" t="n"/>
      <c r="P26" s="275" t="n"/>
      <c r="Q26" s="283" t="n"/>
      <c r="R26" s="392" t="n"/>
      <c r="S26" s="276" t="n"/>
      <c r="T26" s="277" t="n"/>
      <c r="U26" s="272" t="n"/>
      <c r="V26" s="278" t="n"/>
      <c r="W26" s="279" t="n"/>
      <c r="X26" s="391">
        <f>(U26/($U$2/$U$3))</f>
        <v/>
      </c>
      <c r="Y26" s="391">
        <f>(V26/($V$2/$V$3))</f>
        <v/>
      </c>
      <c r="Z26" s="391">
        <f>(W26/($W$2/$W$3))</f>
        <v/>
      </c>
      <c r="AA26" s="391">
        <f>(Y26)/SQRT(((Z26+X26)/2))</f>
        <v/>
      </c>
      <c r="AB26" s="391">
        <f>IF(AA26&lt;3,"NINGUNO",IF(AA26&lt;=9,"LEVE O MODERADO","SEVERO"))</f>
        <v/>
      </c>
      <c r="AC26" s="280" t="n">
        <v>80</v>
      </c>
      <c r="AD26" s="280" t="n">
        <v>1</v>
      </c>
      <c r="AE26" s="280" t="n">
        <v>1</v>
      </c>
    </row>
    <row r="27" ht="15.75" customFormat="1" customHeight="1" s="302" thickBot="1">
      <c r="B27" s="237" t="inlineStr">
        <is>
          <t>M17</t>
        </is>
      </c>
      <c r="C27" s="237" t="n"/>
      <c r="D27" s="237" t="n"/>
      <c r="E27" s="237" t="n"/>
      <c r="F27" s="220" t="n"/>
      <c r="G27" s="393" t="n"/>
      <c r="H27" s="394" t="n"/>
      <c r="I27" s="393" t="n"/>
      <c r="J27" s="394" t="n"/>
      <c r="K27" s="247" t="n"/>
      <c r="L27" s="246" t="n"/>
      <c r="M27" s="247" t="n"/>
      <c r="N27" s="394" t="n"/>
      <c r="O27" s="394" t="n"/>
      <c r="P27" s="234" t="n"/>
      <c r="Q27" s="258" t="n"/>
      <c r="R27" s="394" t="n"/>
      <c r="S27" s="254" t="n"/>
      <c r="T27" s="248" t="n"/>
      <c r="U27" s="246" t="n"/>
      <c r="V27" s="255" t="n"/>
      <c r="W27" s="238" t="n"/>
      <c r="X27" s="396">
        <f>(U27/($U$2/$U$3))</f>
        <v/>
      </c>
      <c r="Y27" s="396">
        <f>(V27/($V$2/$V$3))</f>
        <v/>
      </c>
      <c r="Z27" s="396">
        <f>(W27/($W$2/$W$3))</f>
        <v/>
      </c>
      <c r="AA27" s="396">
        <f>(Y27)/SQRT(((Z27+X27)/2))</f>
        <v/>
      </c>
      <c r="AB27" s="396">
        <f>IF(AA27&lt;3,"NINGUNO",IF(AA27&lt;=9,"LEVE O MODERADO","SEVERO"))</f>
        <v/>
      </c>
      <c r="AC27" s="253" t="inlineStr">
        <is>
          <t>-</t>
        </is>
      </c>
      <c r="AD27" s="253" t="inlineStr">
        <is>
          <t>-</t>
        </is>
      </c>
      <c r="AE27" s="253" t="inlineStr">
        <is>
          <t>-</t>
        </is>
      </c>
    </row>
    <row r="28" ht="15.75" customFormat="1" customHeight="1" s="301" thickBot="1">
      <c r="B28" s="265" t="inlineStr">
        <is>
          <t>M18</t>
        </is>
      </c>
      <c r="C28" s="265" t="n"/>
      <c r="D28" s="265" t="n"/>
      <c r="E28" s="265" t="n"/>
      <c r="F28" s="266" t="n"/>
      <c r="G28" s="400" t="n"/>
      <c r="H28" s="392" t="n"/>
      <c r="I28" s="401" t="n"/>
      <c r="J28" s="391" t="n"/>
      <c r="K28" s="272" t="n"/>
      <c r="L28" s="272" t="n"/>
      <c r="M28" s="271" t="n"/>
      <c r="N28" s="392" t="n"/>
      <c r="O28" s="392" t="n"/>
      <c r="P28" s="275" t="n"/>
      <c r="Q28" s="283" t="n"/>
      <c r="R28" s="392" t="n"/>
      <c r="S28" s="276" t="n"/>
      <c r="T28" s="277" t="n"/>
      <c r="U28" s="272" t="n"/>
      <c r="V28" s="278" t="n"/>
      <c r="W28" s="279" t="n"/>
      <c r="X28" s="391">
        <f>(U28/($U$2/$U$3))</f>
        <v/>
      </c>
      <c r="Y28" s="391">
        <f>(V28/($V$2/$V$3))</f>
        <v/>
      </c>
      <c r="Z28" s="391">
        <f>(W28/($W$2/$W$3))</f>
        <v/>
      </c>
      <c r="AA28" s="391">
        <f>(Y28)/SQRT(((Z28+X28)/2))</f>
        <v/>
      </c>
      <c r="AB28" s="391">
        <f>IF(AA28&lt;3,"NINGUNO",IF(AA28&lt;=9,"LEVE O MODERADO","SEVERO"))</f>
        <v/>
      </c>
      <c r="AC28" s="280" t="n">
        <v>100</v>
      </c>
      <c r="AD28" s="279" t="n">
        <v>0</v>
      </c>
      <c r="AE28" s="279" t="n">
        <v>0</v>
      </c>
    </row>
    <row r="29" ht="15.75" customFormat="1" customHeight="1" s="301" thickBot="1">
      <c r="B29" s="265" t="inlineStr">
        <is>
          <t>M19</t>
        </is>
      </c>
      <c r="C29" s="265" t="n"/>
      <c r="D29" s="265" t="n"/>
      <c r="E29" s="265" t="n"/>
      <c r="F29" s="266" t="n"/>
      <c r="G29" s="400" t="n"/>
      <c r="H29" s="392" t="n"/>
      <c r="I29" s="400" t="n"/>
      <c r="J29" s="391" t="n"/>
      <c r="K29" s="271" t="n"/>
      <c r="L29" s="391" t="n"/>
      <c r="M29" s="271" t="n"/>
      <c r="N29" s="392" t="n"/>
      <c r="O29" s="392" t="n"/>
      <c r="P29" s="275" t="n"/>
      <c r="Q29" s="283" t="n"/>
      <c r="R29" s="392" t="n"/>
      <c r="S29" s="276" t="n"/>
      <c r="T29" s="277" t="n"/>
      <c r="U29" s="272" t="n"/>
      <c r="V29" s="278" t="n"/>
      <c r="W29" s="279" t="n"/>
      <c r="X29" s="391">
        <f>(U29/($U$2/$U$3))</f>
        <v/>
      </c>
      <c r="Y29" s="391">
        <f>(V29/($V$2/$V$3))</f>
        <v/>
      </c>
      <c r="Z29" s="391">
        <f>(W29/($W$2/$W$3))</f>
        <v/>
      </c>
      <c r="AA29" s="391">
        <f>(Y29)/SQRT(((Z29+X29)/2))</f>
        <v/>
      </c>
      <c r="AB29" s="391">
        <f>IF(AA29&lt;3,"NINGUNO",IF(AA29&lt;=9,"LEVE O MODERADO","SEVERO"))</f>
        <v/>
      </c>
      <c r="AC29" s="280" t="n">
        <v>75</v>
      </c>
      <c r="AD29" s="279" t="n">
        <v>0</v>
      </c>
      <c r="AE29" s="279" t="n">
        <v>0</v>
      </c>
    </row>
    <row r="30" ht="15.75" customFormat="1" customHeight="1" s="302" thickBot="1">
      <c r="B30" s="237" t="inlineStr">
        <is>
          <t>M20</t>
        </is>
      </c>
      <c r="C30" s="237" t="n"/>
      <c r="D30" s="237" t="n"/>
      <c r="E30" s="237" t="n"/>
      <c r="F30" s="220" t="n"/>
      <c r="G30" s="393" t="n"/>
      <c r="H30" s="394" t="n"/>
      <c r="I30" s="393" t="n"/>
      <c r="J30" s="396" t="n"/>
      <c r="K30" s="246" t="n"/>
      <c r="L30" s="246" t="n"/>
      <c r="M30" s="247" t="n"/>
      <c r="N30" s="394" t="n"/>
      <c r="O30" s="394" t="n"/>
      <c r="P30" s="234" t="n"/>
      <c r="Q30" s="258" t="n"/>
      <c r="R30" s="394" t="n"/>
      <c r="S30" s="254" t="n"/>
      <c r="T30" s="248" t="n"/>
      <c r="U30" s="246" t="n"/>
      <c r="V30" s="255" t="n"/>
      <c r="W30" s="238" t="n"/>
      <c r="X30" s="396">
        <f>(U30/($U$2/$U$3))</f>
        <v/>
      </c>
      <c r="Y30" s="396">
        <f>(V30/($V$2/$V$3))</f>
        <v/>
      </c>
      <c r="Z30" s="396">
        <f>(W30/($W$2/$W$3))</f>
        <v/>
      </c>
      <c r="AA30" s="396">
        <f>(Y30)/SQRT(((Z30+X30)/2))</f>
        <v/>
      </c>
      <c r="AB30" s="396">
        <f>IF(AA30&lt;3,"NINGUNO",IF(AA30&lt;=9,"LEVE O MODERADO","SEVERO"))</f>
        <v/>
      </c>
      <c r="AC30" s="253" t="inlineStr">
        <is>
          <t>-</t>
        </is>
      </c>
      <c r="AD30" s="253" t="inlineStr">
        <is>
          <t>-</t>
        </is>
      </c>
      <c r="AE30" s="253" t="inlineStr">
        <is>
          <t>-</t>
        </is>
      </c>
    </row>
    <row r="31" ht="15.75" customFormat="1" customHeight="1" s="301" thickBot="1">
      <c r="B31" s="265" t="inlineStr">
        <is>
          <t>M21</t>
        </is>
      </c>
      <c r="C31" s="265" t="n"/>
      <c r="D31" s="265" t="n"/>
      <c r="E31" s="265" t="n"/>
      <c r="F31" s="266" t="n"/>
      <c r="G31" s="400" t="n"/>
      <c r="H31" s="392" t="n"/>
      <c r="I31" s="400" t="n"/>
      <c r="J31" s="391" t="n"/>
      <c r="K31" s="271" t="n"/>
      <c r="L31" s="272" t="n"/>
      <c r="M31" s="271" t="n"/>
      <c r="N31" s="392" t="n"/>
      <c r="O31" s="274" t="n"/>
      <c r="P31" s="275" t="n"/>
      <c r="Q31" s="283" t="n"/>
      <c r="R31" s="392" t="n"/>
      <c r="S31" s="276" t="n"/>
      <c r="T31" s="277" t="n"/>
      <c r="U31" s="272" t="n"/>
      <c r="V31" s="278" t="n"/>
      <c r="W31" s="279" t="n"/>
      <c r="X31" s="391">
        <f>(U31/($U$2/$U$3))</f>
        <v/>
      </c>
      <c r="Y31" s="391">
        <f>(V31/($V$2/$V$3))</f>
        <v/>
      </c>
      <c r="Z31" s="391">
        <f>(W31/($W$2/$W$3))</f>
        <v/>
      </c>
      <c r="AA31" s="391">
        <f>(Y31)/SQRT(((Z31+X31)/2))</f>
        <v/>
      </c>
      <c r="AB31" s="391">
        <f>IF(AA31&lt;3,"NINGUNO",IF(AA31&lt;=9,"LEVE O MODERADO","SEVERO"))</f>
        <v/>
      </c>
      <c r="AC31" s="280" t="n">
        <v>50</v>
      </c>
      <c r="AD31" s="280" t="n">
        <v>2</v>
      </c>
      <c r="AE31" s="279" t="n">
        <v>0</v>
      </c>
    </row>
    <row r="32" ht="15.75" customFormat="1" customHeight="1" s="301" thickBot="1">
      <c r="B32" s="265" t="inlineStr">
        <is>
          <t>M22</t>
        </is>
      </c>
      <c r="C32" s="265" t="n"/>
      <c r="D32" s="265" t="n"/>
      <c r="E32" s="265" t="n"/>
      <c r="F32" s="266" t="n"/>
      <c r="G32" s="400" t="n"/>
      <c r="H32" s="392" t="n"/>
      <c r="I32" s="400" t="n"/>
      <c r="J32" s="391" t="n"/>
      <c r="K32" s="272" t="n"/>
      <c r="L32" s="272" t="n"/>
      <c r="M32" s="271" t="n"/>
      <c r="N32" s="392" t="n"/>
      <c r="O32" s="274" t="n"/>
      <c r="P32" s="275" t="n"/>
      <c r="Q32" s="402" t="n"/>
      <c r="R32" s="392" t="n"/>
      <c r="S32" s="276" t="n"/>
      <c r="T32" s="277" t="n"/>
      <c r="U32" s="272" t="n"/>
      <c r="V32" s="278" t="n"/>
      <c r="W32" s="279" t="n"/>
      <c r="X32" s="391">
        <f>(U32/($U$2/$U$3))</f>
        <v/>
      </c>
      <c r="Y32" s="391">
        <f>(V32/($V$2/$V$3))</f>
        <v/>
      </c>
      <c r="Z32" s="391">
        <f>(W32/($W$2/$W$3))</f>
        <v/>
      </c>
      <c r="AA32" s="391">
        <f>(Y32)/SQRT(((Z32+X32)/2))</f>
        <v/>
      </c>
      <c r="AB32" s="391">
        <f>IF(AA32&lt;3,"NINGUNO",IF(AA32&lt;=9,"LEVE O MODERADO","SEVERO"))</f>
        <v/>
      </c>
      <c r="AC32" s="280" t="n">
        <v>20</v>
      </c>
      <c r="AD32" s="279" t="n">
        <v>0</v>
      </c>
      <c r="AE32" s="279" t="n">
        <v>0</v>
      </c>
    </row>
    <row r="33" ht="15.75" customFormat="1" customHeight="1" s="301" thickBot="1">
      <c r="B33" s="265" t="inlineStr">
        <is>
          <t>M23</t>
        </is>
      </c>
      <c r="C33" s="265" t="n"/>
      <c r="D33" s="265" t="n"/>
      <c r="E33" s="265" t="n"/>
      <c r="F33" s="266" t="n"/>
      <c r="G33" s="400" t="n"/>
      <c r="H33" s="392" t="n"/>
      <c r="I33" s="400" t="n"/>
      <c r="J33" s="391" t="n"/>
      <c r="K33" s="271" t="n"/>
      <c r="L33" s="272" t="n"/>
      <c r="M33" s="271" t="n"/>
      <c r="N33" s="392" t="n"/>
      <c r="O33" s="274" t="n"/>
      <c r="P33" s="275" t="n"/>
      <c r="Q33" s="402" t="n"/>
      <c r="R33" s="392" t="n"/>
      <c r="S33" s="276" t="n"/>
      <c r="T33" s="277" t="n"/>
      <c r="U33" s="272" t="n"/>
      <c r="V33" s="278" t="n"/>
      <c r="W33" s="279" t="n"/>
      <c r="X33" s="391">
        <f>(U33/($U$2/$U$3))</f>
        <v/>
      </c>
      <c r="Y33" s="391">
        <f>(V33/($V$2/$V$3))</f>
        <v/>
      </c>
      <c r="Z33" s="391">
        <f>(W33/($W$2/$W$3))</f>
        <v/>
      </c>
      <c r="AA33" s="391">
        <f>(Y33)/SQRT(((Z33+X33)/2))</f>
        <v/>
      </c>
      <c r="AB33" s="391">
        <f>IF(AA33&lt;3,"NINGUNO",IF(AA33&lt;=9,"LEVE O MODERADO","SEVERO"))</f>
        <v/>
      </c>
      <c r="AC33" s="280" t="n">
        <v>100</v>
      </c>
      <c r="AD33" s="280" t="n">
        <v>25</v>
      </c>
      <c r="AE33" s="280" t="n">
        <v>2</v>
      </c>
    </row>
    <row r="34" ht="15.75" customFormat="1" customHeight="1" s="302" thickBot="1">
      <c r="A34" s="408" t="n"/>
      <c r="B34" s="237" t="inlineStr">
        <is>
          <t>M24</t>
        </is>
      </c>
      <c r="C34" s="237" t="n"/>
      <c r="D34" s="237" t="n"/>
      <c r="E34" s="237" t="n"/>
      <c r="F34" s="220" t="n"/>
      <c r="G34" s="393" t="n"/>
      <c r="H34" s="394" t="n"/>
      <c r="I34" s="393" t="n"/>
      <c r="J34" s="396" t="n"/>
      <c r="K34" s="247" t="n"/>
      <c r="L34" s="246" t="n"/>
      <c r="M34" s="247" t="n"/>
      <c r="N34" s="250" t="n"/>
      <c r="O34" s="250" t="n"/>
      <c r="P34" s="234" t="n"/>
      <c r="Q34" s="258" t="n"/>
      <c r="R34" s="394" t="n"/>
      <c r="S34" s="254" t="n"/>
      <c r="T34" s="248" t="n"/>
      <c r="U34" s="246" t="n"/>
      <c r="V34" s="255" t="n"/>
      <c r="W34" s="238" t="n"/>
      <c r="X34" s="396">
        <f>(U34/($U$2/$U$3))</f>
        <v/>
      </c>
      <c r="Y34" s="396">
        <f>(V34/($V$2/$V$3))</f>
        <v/>
      </c>
      <c r="Z34" s="396">
        <f>(W34/($W$2/$W$3))</f>
        <v/>
      </c>
      <c r="AA34" s="396">
        <f>(Y34)/SQRT(((Z34+X34)/2))</f>
        <v/>
      </c>
      <c r="AB34" s="396">
        <f>IF(AA34&lt;3,"NINGUNO",IF(AA34&lt;=9,"LEVE O MODERADO","SEVERO"))</f>
        <v/>
      </c>
      <c r="AC34" s="253" t="inlineStr">
        <is>
          <t>-</t>
        </is>
      </c>
      <c r="AD34" s="253" t="inlineStr">
        <is>
          <t>-</t>
        </is>
      </c>
      <c r="AE34" s="253" t="inlineStr">
        <is>
          <t>-</t>
        </is>
      </c>
    </row>
    <row r="35" ht="15.75" customFormat="1" customHeight="1" s="301" thickBot="1">
      <c r="B35" s="265" t="inlineStr">
        <is>
          <t>M25</t>
        </is>
      </c>
      <c r="C35" s="265" t="n"/>
      <c r="D35" s="265" t="n"/>
      <c r="E35" s="265" t="n"/>
      <c r="F35" s="266" t="n"/>
      <c r="G35" s="400" t="n"/>
      <c r="H35" s="392" t="n"/>
      <c r="I35" s="400" t="n"/>
      <c r="J35" s="391" t="n"/>
      <c r="K35" s="271" t="n"/>
      <c r="L35" s="272" t="n"/>
      <c r="M35" s="271" t="n"/>
      <c r="N35" s="392" t="n"/>
      <c r="O35" s="274" t="n"/>
      <c r="P35" s="275" t="n"/>
      <c r="Q35" s="402" t="n"/>
      <c r="R35" s="392" t="n"/>
      <c r="S35" s="276" t="n"/>
      <c r="T35" s="277" t="n"/>
      <c r="U35" s="272" t="n"/>
      <c r="V35" s="278" t="n"/>
      <c r="W35" s="279" t="n"/>
      <c r="X35" s="391">
        <f>(U35/($U$2/$U$3))</f>
        <v/>
      </c>
      <c r="Y35" s="391">
        <f>(V35/($V$2/$V$3))</f>
        <v/>
      </c>
      <c r="Z35" s="391">
        <f>(W35/($W$2/$W$3))</f>
        <v/>
      </c>
      <c r="AA35" s="391">
        <f>(Y35)/SQRT(((Z35+X35)/2))</f>
        <v/>
      </c>
      <c r="AB35" s="391">
        <f>IF(AA35&lt;3,"NINGUNO",IF(AA35&lt;=9,"LEVE O MODERADO","SEVERO"))</f>
        <v/>
      </c>
      <c r="AC35" s="280" t="n">
        <v>100</v>
      </c>
      <c r="AD35" s="281" t="n">
        <v>0</v>
      </c>
      <c r="AE35" s="281" t="n">
        <v>0</v>
      </c>
    </row>
    <row r="36" ht="15.75" customFormat="1" customHeight="1" s="301" thickBot="1">
      <c r="B36" s="265" t="inlineStr">
        <is>
          <t>M26</t>
        </is>
      </c>
      <c r="C36" s="265" t="n"/>
      <c r="D36" s="265" t="n"/>
      <c r="E36" s="265" t="n"/>
      <c r="F36" s="266" t="n"/>
      <c r="G36" s="400" t="n"/>
      <c r="H36" s="392" t="n"/>
      <c r="I36" s="400" t="n"/>
      <c r="J36" s="391" t="n"/>
      <c r="K36" s="271" t="n"/>
      <c r="L36" s="272" t="n"/>
      <c r="M36" s="271" t="n"/>
      <c r="N36" s="392" t="n"/>
      <c r="O36" s="392" t="n"/>
      <c r="P36" s="275" t="n"/>
      <c r="Q36" s="283" t="n"/>
      <c r="R36" s="392" t="n"/>
      <c r="S36" s="276" t="n"/>
      <c r="T36" s="277" t="n"/>
      <c r="U36" s="272" t="n"/>
      <c r="V36" s="278" t="n"/>
      <c r="W36" s="279" t="n"/>
      <c r="X36" s="391">
        <f>(U36/($U$2/$U$3))</f>
        <v/>
      </c>
      <c r="Y36" s="391">
        <f>(V36/($V$2/$V$3))</f>
        <v/>
      </c>
      <c r="Z36" s="391">
        <f>(W36/($W$2/$W$3))</f>
        <v/>
      </c>
      <c r="AA36" s="391">
        <f>(Y36)/SQRT(((Z36+X36)/2))</f>
        <v/>
      </c>
      <c r="AB36" s="391">
        <f>IF(AA36&lt;3,"NINGUNO",IF(AA36&lt;=9,"LEVE O MODERADO","SEVERO"))</f>
        <v/>
      </c>
      <c r="AC36" s="280" t="n">
        <v>100</v>
      </c>
      <c r="AD36" s="281" t="n">
        <v>0</v>
      </c>
      <c r="AE36" s="281" t="n">
        <v>0</v>
      </c>
    </row>
    <row r="37" ht="15.75" customFormat="1" customHeight="1" s="302" thickBot="1">
      <c r="B37" s="232" t="inlineStr">
        <is>
          <t>M27</t>
        </is>
      </c>
      <c r="C37" s="237" t="n"/>
      <c r="D37" s="237" t="n"/>
      <c r="E37" s="237" t="n"/>
      <c r="F37" s="220" t="n"/>
      <c r="G37" s="393" t="n"/>
      <c r="H37" s="394" t="n"/>
      <c r="I37" s="393" t="n"/>
      <c r="J37" s="396" t="n"/>
      <c r="K37" s="247" t="n"/>
      <c r="L37" s="246" t="n"/>
      <c r="M37" s="247" t="n"/>
      <c r="N37" s="394" t="n"/>
      <c r="O37" s="394" t="n"/>
      <c r="P37" s="234" t="n"/>
      <c r="Q37" s="258" t="n"/>
      <c r="R37" s="394" t="n"/>
      <c r="S37" s="254" t="n"/>
      <c r="T37" s="248" t="n"/>
      <c r="U37" s="246" t="n"/>
      <c r="V37" s="255" t="n"/>
      <c r="W37" s="238" t="n"/>
      <c r="X37" s="396">
        <f>(U37/($U$2/$U$3))</f>
        <v/>
      </c>
      <c r="Y37" s="396">
        <f>(V37/($V$2/$V$3))</f>
        <v/>
      </c>
      <c r="Z37" s="396">
        <f>(W37/($W$2/$W$3))</f>
        <v/>
      </c>
      <c r="AA37" s="396">
        <f>(Y37)/SQRT(((Z37+X37)/2))</f>
        <v/>
      </c>
      <c r="AB37" s="396">
        <f>IF(AA37&lt;3,"NINGUNO",IF(AA37&lt;=9,"LEVE O MODERADO","SEVERO"))</f>
        <v/>
      </c>
      <c r="AC37" s="253" t="inlineStr">
        <is>
          <t>-</t>
        </is>
      </c>
      <c r="AD37" s="253" t="inlineStr">
        <is>
          <t>-</t>
        </is>
      </c>
      <c r="AE37" s="253" t="inlineStr">
        <is>
          <t>-</t>
        </is>
      </c>
    </row>
    <row r="38" ht="15.75" customFormat="1" customHeight="1" s="302" thickBot="1">
      <c r="B38" s="237" t="inlineStr">
        <is>
          <t>M28</t>
        </is>
      </c>
      <c r="C38" s="237" t="n"/>
      <c r="D38" s="237" t="n"/>
      <c r="E38" s="237" t="n"/>
      <c r="F38" s="220" t="n"/>
      <c r="G38" s="393" t="n"/>
      <c r="H38" s="394" t="n"/>
      <c r="I38" s="393" t="n"/>
      <c r="J38" s="396" t="n"/>
      <c r="K38" s="247" t="n"/>
      <c r="L38" s="246" t="n"/>
      <c r="M38" s="247" t="n"/>
      <c r="N38" s="394" t="n"/>
      <c r="O38" s="394" t="n"/>
      <c r="P38" s="234" t="n"/>
      <c r="Q38" s="258" t="n"/>
      <c r="R38" s="394" t="n"/>
      <c r="S38" s="254" t="n"/>
      <c r="T38" s="248" t="n"/>
      <c r="U38" s="246" t="n"/>
      <c r="V38" s="255" t="n"/>
      <c r="W38" s="238" t="n"/>
      <c r="X38" s="396">
        <f>(U38/($U$2/$U$3))</f>
        <v/>
      </c>
      <c r="Y38" s="396">
        <f>(V38/($V$2/$V$3))</f>
        <v/>
      </c>
      <c r="Z38" s="396">
        <f>(W38/($W$2/$W$3))</f>
        <v/>
      </c>
      <c r="AA38" s="396">
        <f>(Y38)/SQRT(((Z38+X38)/2))</f>
        <v/>
      </c>
      <c r="AB38" s="396">
        <f>IF(AA38&lt;3,"NINGUNO",IF(AA38&lt;=9,"LEVE O MODERADO","SEVERO"))</f>
        <v/>
      </c>
      <c r="AC38" s="253" t="inlineStr">
        <is>
          <t>-</t>
        </is>
      </c>
      <c r="AD38" s="253" t="inlineStr">
        <is>
          <t>-</t>
        </is>
      </c>
      <c r="AE38" s="253" t="inlineStr">
        <is>
          <t>-</t>
        </is>
      </c>
    </row>
    <row r="39" ht="15.75" customFormat="1" customHeight="1" s="301" thickBot="1">
      <c r="B39" s="265" t="inlineStr">
        <is>
          <t>M29</t>
        </is>
      </c>
      <c r="C39" s="265" t="n"/>
      <c r="D39" s="265" t="n"/>
      <c r="E39" s="265" t="n"/>
      <c r="F39" s="266" t="n"/>
      <c r="G39" s="400" t="n"/>
      <c r="H39" s="392" t="n"/>
      <c r="I39" s="400" t="n"/>
      <c r="J39" s="391" t="n"/>
      <c r="K39" s="271" t="n"/>
      <c r="L39" s="272" t="n"/>
      <c r="M39" s="271" t="n"/>
      <c r="N39" s="392" t="n"/>
      <c r="O39" s="274" t="n"/>
      <c r="P39" s="275" t="n"/>
      <c r="Q39" s="283" t="n"/>
      <c r="R39" s="392" t="n"/>
      <c r="S39" s="276" t="n"/>
      <c r="T39" s="277" t="n"/>
      <c r="U39" s="272" t="n"/>
      <c r="V39" s="278" t="n"/>
      <c r="W39" s="279" t="n"/>
      <c r="X39" s="391">
        <f>(U39/($U$2/$U$3))</f>
        <v/>
      </c>
      <c r="Y39" s="391">
        <f>(V39/($V$2/$V$3))</f>
        <v/>
      </c>
      <c r="Z39" s="391">
        <f>(W39/($W$2/$W$3))</f>
        <v/>
      </c>
      <c r="AA39" s="391">
        <f>(Y39)/SQRT(((Z39+X39)/2))</f>
        <v/>
      </c>
      <c r="AB39" s="391">
        <f>IF(AA39&lt;3,"NINGUNO",IF(AA39&lt;=9,"LEVE O MODERADO","SEVERO"))</f>
        <v/>
      </c>
      <c r="AC39" s="280" t="n">
        <v>5</v>
      </c>
      <c r="AD39" s="280" t="n">
        <v>1</v>
      </c>
      <c r="AE39" s="280" t="n">
        <v>1</v>
      </c>
    </row>
    <row r="40" ht="15.75" customFormat="1" customHeight="1" s="302" thickBot="1">
      <c r="B40" s="237" t="inlineStr">
        <is>
          <t>M30</t>
        </is>
      </c>
      <c r="C40" s="237" t="n"/>
      <c r="D40" s="237" t="n"/>
      <c r="E40" s="237" t="n"/>
      <c r="F40" s="220" t="n"/>
      <c r="G40" s="393" t="n"/>
      <c r="H40" s="394" t="n"/>
      <c r="I40" s="393" t="n"/>
      <c r="J40" s="396" t="n"/>
      <c r="K40" s="247" t="n"/>
      <c r="L40" s="246" t="n"/>
      <c r="M40" s="247" t="n"/>
      <c r="N40" s="394" t="n"/>
      <c r="O40" s="394" t="n"/>
      <c r="P40" s="234" t="n"/>
      <c r="Q40" s="258" t="n"/>
      <c r="R40" s="394" t="n"/>
      <c r="S40" s="254" t="n"/>
      <c r="T40" s="248" t="n"/>
      <c r="U40" s="246" t="n"/>
      <c r="V40" s="255" t="n"/>
      <c r="W40" s="238" t="n"/>
      <c r="X40" s="396">
        <f>(U40/($U$2/$U$3))</f>
        <v/>
      </c>
      <c r="Y40" s="396">
        <f>(V40/($V$2/$V$3))</f>
        <v/>
      </c>
      <c r="Z40" s="396">
        <f>(W40/($W$2/$W$3))</f>
        <v/>
      </c>
      <c r="AA40" s="396">
        <f>(Y40)/SQRT(((Z40+X40)/2))</f>
        <v/>
      </c>
      <c r="AB40" s="396">
        <f>IF(AA40&lt;3,"NINGUNO",IF(AA40&lt;=9,"LEVE O MODERADO","SEVERO"))</f>
        <v/>
      </c>
      <c r="AC40" s="253" t="inlineStr">
        <is>
          <t>-</t>
        </is>
      </c>
      <c r="AD40" s="253" t="inlineStr">
        <is>
          <t>-</t>
        </is>
      </c>
      <c r="AE40" s="253" t="inlineStr">
        <is>
          <t>-</t>
        </is>
      </c>
    </row>
    <row r="41" ht="15.75" customFormat="1" customHeight="1" s="301" thickBot="1">
      <c r="B41" s="265" t="inlineStr">
        <is>
          <t>M31</t>
        </is>
      </c>
      <c r="C41" s="265" t="n"/>
      <c r="D41" s="265" t="n"/>
      <c r="E41" s="265" t="n"/>
      <c r="F41" s="266" t="n"/>
      <c r="G41" s="400" t="n"/>
      <c r="H41" s="392" t="n"/>
      <c r="I41" s="400" t="n"/>
      <c r="J41" s="391" t="n"/>
      <c r="K41" s="271" t="n"/>
      <c r="L41" s="272" t="n"/>
      <c r="M41" s="271" t="n"/>
      <c r="N41" s="392" t="n"/>
      <c r="O41" s="392" t="n"/>
      <c r="P41" s="275" t="n"/>
      <c r="Q41" s="283" t="n"/>
      <c r="R41" s="392" t="n"/>
      <c r="S41" s="276" t="n"/>
      <c r="T41" s="277" t="n"/>
      <c r="U41" s="272" t="n"/>
      <c r="V41" s="278" t="n"/>
      <c r="W41" s="279" t="n"/>
      <c r="X41" s="391">
        <f>(U41/($U$2/$U$3))</f>
        <v/>
      </c>
      <c r="Y41" s="391">
        <f>(V41/($V$2/$V$3))</f>
        <v/>
      </c>
      <c r="Z41" s="391">
        <f>(W41/($W$2/$W$3))</f>
        <v/>
      </c>
      <c r="AA41" s="391">
        <f>(Y41)/SQRT(((Z41+X41)/2))</f>
        <v/>
      </c>
      <c r="AB41" s="391">
        <f>IF(AA41&lt;3,"NINGUNO",IF(AA41&lt;=9,"LEVE O MODERADO","SEVERO"))</f>
        <v/>
      </c>
      <c r="AC41" s="280" t="n">
        <v>25</v>
      </c>
      <c r="AD41" s="281" t="n">
        <v>0</v>
      </c>
      <c r="AE41" s="281" t="n">
        <v>0</v>
      </c>
    </row>
    <row r="42" ht="15.75" customFormat="1" customHeight="1" s="302" thickBot="1">
      <c r="B42" s="237" t="inlineStr">
        <is>
          <t>M32</t>
        </is>
      </c>
      <c r="C42" s="237" t="n"/>
      <c r="D42" s="237" t="n"/>
      <c r="E42" s="237" t="n"/>
      <c r="F42" s="220" t="n"/>
      <c r="G42" s="393" t="n"/>
      <c r="H42" s="394" t="n"/>
      <c r="I42" s="393" t="n"/>
      <c r="J42" s="396" t="n"/>
      <c r="K42" s="247" t="n"/>
      <c r="L42" s="246" t="n"/>
      <c r="M42" s="247" t="n"/>
      <c r="N42" s="394" t="n"/>
      <c r="O42" s="250" t="n"/>
      <c r="P42" s="234" t="n"/>
      <c r="Q42" s="258" t="n"/>
      <c r="R42" s="394" t="n"/>
      <c r="S42" s="254" t="n"/>
      <c r="T42" s="248" t="n"/>
      <c r="U42" s="246" t="n"/>
      <c r="V42" s="255" t="n"/>
      <c r="W42" s="238" t="n"/>
      <c r="X42" s="396">
        <f>(U42/($U$2/$U$3))</f>
        <v/>
      </c>
      <c r="Y42" s="396">
        <f>(V42/($V$2/$V$3))</f>
        <v/>
      </c>
      <c r="Z42" s="396">
        <f>(W42/($W$2/$W$3))</f>
        <v/>
      </c>
      <c r="AA42" s="396">
        <f>(Y42)/SQRT(((Z42+X42)/2))</f>
        <v/>
      </c>
      <c r="AB42" s="396">
        <f>IF(AA42&lt;3,"NINGUNO",IF(AA42&lt;=9,"LEVE O MODERADO","SEVERO"))</f>
        <v/>
      </c>
      <c r="AC42" s="253" t="inlineStr">
        <is>
          <t>-</t>
        </is>
      </c>
      <c r="AD42" s="253" t="inlineStr">
        <is>
          <t>-</t>
        </is>
      </c>
      <c r="AE42" s="253" t="inlineStr">
        <is>
          <t>-</t>
        </is>
      </c>
    </row>
    <row r="43" ht="15.75" customFormat="1" customHeight="1" s="302" thickBot="1">
      <c r="B43" s="237" t="inlineStr">
        <is>
          <t>M33</t>
        </is>
      </c>
      <c r="C43" s="237" t="n"/>
      <c r="D43" s="237" t="n"/>
      <c r="E43" s="237" t="n"/>
      <c r="F43" s="220" t="n"/>
      <c r="G43" s="393" t="n"/>
      <c r="H43" s="394" t="n"/>
      <c r="I43" s="393" t="n"/>
      <c r="J43" s="396" t="n"/>
      <c r="K43" s="247" t="n"/>
      <c r="L43" s="246" t="n"/>
      <c r="M43" s="247" t="n"/>
      <c r="N43" s="394" t="n"/>
      <c r="O43" s="250" t="n"/>
      <c r="P43" s="234" t="n"/>
      <c r="Q43" s="258" t="n"/>
      <c r="R43" s="394" t="n"/>
      <c r="S43" s="254" t="n"/>
      <c r="T43" s="248" t="n"/>
      <c r="U43" s="246" t="n"/>
      <c r="V43" s="255" t="n"/>
      <c r="W43" s="238" t="n"/>
      <c r="X43" s="396">
        <f>(U43/($U$2/$U$3))</f>
        <v/>
      </c>
      <c r="Y43" s="396">
        <f>(V43/($V$2/$V$3))</f>
        <v/>
      </c>
      <c r="Z43" s="396">
        <f>(W43/($W$2/$W$3))</f>
        <v/>
      </c>
      <c r="AA43" s="396">
        <f>(Y43)/SQRT(((Z43+X43)/2))</f>
        <v/>
      </c>
      <c r="AB43" s="396">
        <f>IF(AA43&lt;3,"NINGUNO",IF(AA43&lt;=9,"LEVE O MODERADO","SEVERO"))</f>
        <v/>
      </c>
      <c r="AC43" s="253" t="n"/>
      <c r="AD43" s="253" t="n"/>
      <c r="AE43" s="253" t="n"/>
    </row>
    <row r="44" ht="15.75" customFormat="1" customHeight="1" s="301" thickBot="1">
      <c r="B44" s="265" t="inlineStr">
        <is>
          <t>M34</t>
        </is>
      </c>
      <c r="C44" s="265" t="n"/>
      <c r="D44" s="265" t="n"/>
      <c r="E44" s="265" t="n"/>
      <c r="F44" s="266" t="n"/>
      <c r="G44" s="400" t="n"/>
      <c r="H44" s="392" t="n"/>
      <c r="I44" s="400" t="n"/>
      <c r="J44" s="391" t="n"/>
      <c r="K44" s="271" t="n"/>
      <c r="L44" s="272" t="n"/>
      <c r="M44" s="271" t="n"/>
      <c r="N44" s="392" t="n"/>
      <c r="O44" s="274" t="n"/>
      <c r="P44" s="275" t="n"/>
      <c r="Q44" s="283" t="n"/>
      <c r="R44" s="392" t="n"/>
      <c r="S44" s="276" t="n"/>
      <c r="T44" s="277" t="n"/>
      <c r="U44" s="272" t="n"/>
      <c r="V44" s="278" t="n"/>
      <c r="W44" s="279" t="n"/>
      <c r="X44" s="391">
        <f>(U44/($U$2/$U$3))</f>
        <v/>
      </c>
      <c r="Y44" s="391">
        <f>(V44/($V$2/$V$3))</f>
        <v/>
      </c>
      <c r="Z44" s="391">
        <f>(W44/($W$2/$W$3))</f>
        <v/>
      </c>
      <c r="AA44" s="391">
        <f>(Y44)/SQRT(((Z44+X44)/2))</f>
        <v/>
      </c>
      <c r="AB44" s="391">
        <f>IF(AA44&lt;3,"NINGUNO",IF(AA44&lt;=9,"LEVE O MODERADO","SEVERO"))</f>
        <v/>
      </c>
      <c r="AC44" s="280" t="n">
        <v>10</v>
      </c>
      <c r="AD44" s="280" t="n">
        <v>10</v>
      </c>
      <c r="AE44" s="280" t="n">
        <v>5</v>
      </c>
    </row>
    <row r="45" ht="15.75" customFormat="1" customHeight="1" s="301" thickBot="1">
      <c r="B45" s="265" t="inlineStr">
        <is>
          <t>M35</t>
        </is>
      </c>
      <c r="C45" s="265" t="n"/>
      <c r="D45" s="265" t="n"/>
      <c r="E45" s="265" t="n"/>
      <c r="F45" s="266" t="n"/>
      <c r="G45" s="400" t="n"/>
      <c r="H45" s="392" t="n"/>
      <c r="I45" s="400" t="n"/>
      <c r="J45" s="391" t="n"/>
      <c r="K45" s="271" t="n"/>
      <c r="L45" s="272" t="n"/>
      <c r="M45" s="271" t="n"/>
      <c r="N45" s="392" t="n"/>
      <c r="O45" s="392" t="n"/>
      <c r="P45" s="275" t="n"/>
      <c r="Q45" s="283" t="n"/>
      <c r="R45" s="392" t="n"/>
      <c r="S45" s="276" t="n"/>
      <c r="T45" s="277" t="n"/>
      <c r="U45" s="272" t="n"/>
      <c r="V45" s="278" t="n"/>
      <c r="W45" s="279" t="n"/>
      <c r="X45" s="391">
        <f>(U45/($U$2/$U$3))</f>
        <v/>
      </c>
      <c r="Y45" s="391">
        <f>(V45/($V$2/$V$3))</f>
        <v/>
      </c>
      <c r="Z45" s="391">
        <f>(W45/($W$2/$W$3))</f>
        <v/>
      </c>
      <c r="AA45" s="391">
        <f>(Y45)/SQRT(((Z45+X45)/2))</f>
        <v/>
      </c>
      <c r="AB45" s="391">
        <f>IF(AA45&lt;3,"NINGUNO",IF(AA45&lt;=9,"LEVE O MODERADO","SEVERO"))</f>
        <v/>
      </c>
      <c r="AC45" s="280" t="n">
        <v>15</v>
      </c>
      <c r="AD45" s="280" t="n">
        <v>10</v>
      </c>
      <c r="AE45" s="280" t="n">
        <v>5</v>
      </c>
    </row>
    <row r="46" ht="15.75" customFormat="1" customHeight="1" s="301" thickBot="1">
      <c r="B46" s="265" t="inlineStr">
        <is>
          <t>M36</t>
        </is>
      </c>
      <c r="C46" s="265" t="n"/>
      <c r="D46" s="265" t="n"/>
      <c r="E46" s="265" t="n"/>
      <c r="F46" s="266" t="n"/>
      <c r="G46" s="400" t="n"/>
      <c r="H46" s="392" t="n"/>
      <c r="I46" s="400" t="n"/>
      <c r="J46" s="391" t="n"/>
      <c r="K46" s="271" t="n"/>
      <c r="L46" s="391" t="n"/>
      <c r="M46" s="271" t="n"/>
      <c r="N46" s="392" t="n"/>
      <c r="O46" s="392" t="n"/>
      <c r="P46" s="275" t="n"/>
      <c r="Q46" s="283" t="n"/>
      <c r="R46" s="392" t="n"/>
      <c r="S46" s="276" t="n"/>
      <c r="T46" s="277" t="n"/>
      <c r="U46" s="272" t="n"/>
      <c r="V46" s="278" t="n"/>
      <c r="W46" s="279" t="n"/>
      <c r="X46" s="391">
        <f>(U46/($U$2/$U$3))</f>
        <v/>
      </c>
      <c r="Y46" s="391">
        <f>(V46/($V$2/$V$3))</f>
        <v/>
      </c>
      <c r="Z46" s="391">
        <f>(W46/($W$2/$W$3))</f>
        <v/>
      </c>
      <c r="AA46" s="391">
        <f>(Y46)/SQRT(((Z46+X46)/2))</f>
        <v/>
      </c>
      <c r="AB46" s="391">
        <f>IF(AA46&lt;3,"NINGUNO",IF(AA46&lt;=9,"LEVE O MODERADO","SEVERO"))</f>
        <v/>
      </c>
      <c r="AC46" s="280" t="n">
        <v>50</v>
      </c>
      <c r="AD46" s="280" t="n">
        <v>2</v>
      </c>
      <c r="AE46" s="280" t="n">
        <v>2</v>
      </c>
    </row>
    <row r="47" ht="15.75" customFormat="1" customHeight="1" s="301" thickBot="1">
      <c r="B47" s="265" t="inlineStr">
        <is>
          <t>M37</t>
        </is>
      </c>
      <c r="C47" s="265" t="n"/>
      <c r="D47" s="265" t="n"/>
      <c r="E47" s="265" t="n"/>
      <c r="F47" s="266" t="n"/>
      <c r="G47" s="400" t="n"/>
      <c r="H47" s="392" t="n"/>
      <c r="I47" s="400" t="n"/>
      <c r="J47" s="391" t="n"/>
      <c r="K47" s="271" t="n"/>
      <c r="L47" s="272" t="n"/>
      <c r="M47" s="271" t="n"/>
      <c r="N47" s="392" t="n"/>
      <c r="O47" s="274" t="n"/>
      <c r="P47" s="275" t="n"/>
      <c r="Q47" s="283" t="n"/>
      <c r="R47" s="392" t="n"/>
      <c r="S47" s="276" t="n"/>
      <c r="T47" s="277" t="n"/>
      <c r="U47" s="272" t="n"/>
      <c r="V47" s="278" t="n"/>
      <c r="W47" s="279" t="n"/>
      <c r="X47" s="391">
        <f>(U47/($U$2/$U$3))</f>
        <v/>
      </c>
      <c r="Y47" s="391">
        <f>(V47/($V$2/$V$3))</f>
        <v/>
      </c>
      <c r="Z47" s="391">
        <f>(W47/($W$2/$W$3))</f>
        <v/>
      </c>
      <c r="AA47" s="391">
        <f>(Y47)/SQRT(((Z47+X47)/2))</f>
        <v/>
      </c>
      <c r="AB47" s="391">
        <f>IF(AA47&lt;3,"NINGUNO",IF(AA47&lt;=9,"LEVE O MODERADO","SEVERO"))</f>
        <v/>
      </c>
      <c r="AC47" s="280" t="n">
        <v>15</v>
      </c>
      <c r="AD47" s="280" t="n">
        <v>10</v>
      </c>
      <c r="AE47" s="280" t="n">
        <v>5</v>
      </c>
    </row>
    <row r="48" ht="15.75" customFormat="1" customHeight="1" s="301" thickBot="1">
      <c r="B48" s="265" t="inlineStr">
        <is>
          <t>M38</t>
        </is>
      </c>
      <c r="C48" s="265" t="n"/>
      <c r="D48" s="265" t="n"/>
      <c r="E48" s="265" t="n"/>
      <c r="F48" s="266" t="n"/>
      <c r="G48" s="400" t="n"/>
      <c r="H48" s="392" t="n"/>
      <c r="I48" s="400" t="n"/>
      <c r="J48" s="391" t="n"/>
      <c r="K48" s="271" t="n"/>
      <c r="L48" s="272" t="n"/>
      <c r="M48" s="271" t="n"/>
      <c r="N48" s="392" t="n"/>
      <c r="O48" s="274" t="n"/>
      <c r="P48" s="275" t="n"/>
      <c r="Q48" s="283" t="n"/>
      <c r="R48" s="392" t="n"/>
      <c r="S48" s="276" t="n"/>
      <c r="T48" s="277" t="n"/>
      <c r="U48" s="272" t="n"/>
      <c r="V48" s="278" t="n"/>
      <c r="W48" s="279" t="n"/>
      <c r="X48" s="391">
        <f>(U48/($U$2/$U$3))</f>
        <v/>
      </c>
      <c r="Y48" s="391">
        <f>(V48/($V$2/$V$3))</f>
        <v/>
      </c>
      <c r="Z48" s="391">
        <f>(W48/($W$2/$W$3))</f>
        <v/>
      </c>
      <c r="AA48" s="391">
        <f>(Y48)/SQRT(((Z48+X48)/2))</f>
        <v/>
      </c>
      <c r="AB48" s="391">
        <f>IF(AA48&lt;3,"NINGUNO",IF(AA48&lt;=9,"LEVE O MODERADO","SEVERO"))</f>
        <v/>
      </c>
      <c r="AC48" s="280" t="n">
        <v>5</v>
      </c>
      <c r="AD48" s="280" t="n">
        <v>5</v>
      </c>
      <c r="AE48" s="280" t="n">
        <v>4</v>
      </c>
    </row>
    <row r="49" ht="15.75" customFormat="1" customHeight="1" s="302" thickBot="1">
      <c r="B49" s="237" t="inlineStr">
        <is>
          <t>M39</t>
        </is>
      </c>
      <c r="C49" s="237" t="n"/>
      <c r="D49" s="237" t="n"/>
      <c r="E49" s="237" t="n"/>
      <c r="F49" s="220" t="n"/>
      <c r="G49" s="393" t="n"/>
      <c r="H49" s="394" t="n"/>
      <c r="I49" s="393" t="n"/>
      <c r="J49" s="396" t="n"/>
      <c r="K49" s="247" t="n"/>
      <c r="L49" s="396" t="n"/>
      <c r="M49" s="247" t="n"/>
      <c r="N49" s="394" t="n"/>
      <c r="O49" s="250" t="n"/>
      <c r="P49" s="234" t="n"/>
      <c r="Q49" s="258" t="n"/>
      <c r="R49" s="394" t="n"/>
      <c r="S49" s="254" t="n"/>
      <c r="T49" s="248" t="n"/>
      <c r="U49" s="246" t="n"/>
      <c r="V49" s="255" t="n"/>
      <c r="W49" s="238" t="n"/>
      <c r="X49" s="396">
        <f>(U49/($U$2/$U$3))</f>
        <v/>
      </c>
      <c r="Y49" s="396">
        <f>(V49/($V$2/$V$3))</f>
        <v/>
      </c>
      <c r="Z49" s="396">
        <f>(W49/($W$2/$W$3))</f>
        <v/>
      </c>
      <c r="AA49" s="396">
        <f>(Y49)/SQRT(((Z49+X49)/2))</f>
        <v/>
      </c>
      <c r="AB49" s="396">
        <f>IF(AA49&lt;3,"NINGUNO",IF(AA49&lt;=9,"LEVE O MODERADO","SEVERO"))</f>
        <v/>
      </c>
      <c r="AC49" s="253" t="inlineStr">
        <is>
          <t>-</t>
        </is>
      </c>
      <c r="AD49" s="253" t="inlineStr">
        <is>
          <t>-</t>
        </is>
      </c>
      <c r="AE49" s="253" t="inlineStr">
        <is>
          <t>-</t>
        </is>
      </c>
    </row>
    <row r="50" ht="15.75" customFormat="1" customHeight="1" s="302" thickBot="1">
      <c r="B50" s="237" t="inlineStr">
        <is>
          <t>M40</t>
        </is>
      </c>
      <c r="C50" s="237" t="n"/>
      <c r="D50" s="237" t="n"/>
      <c r="E50" s="237" t="n"/>
      <c r="F50" s="220" t="n"/>
      <c r="G50" s="393" t="n"/>
      <c r="H50" s="393" t="n"/>
      <c r="I50" s="393" t="n"/>
      <c r="J50" s="393" t="n"/>
      <c r="K50" s="393" t="n"/>
      <c r="L50" s="393" t="n"/>
      <c r="M50" s="393" t="n"/>
      <c r="N50" s="393" t="n"/>
      <c r="O50" s="409" t="n"/>
      <c r="P50" s="393" t="n"/>
      <c r="Q50" s="393" t="n"/>
      <c r="R50" s="393" t="n"/>
      <c r="S50" s="393" t="n"/>
      <c r="T50" s="393" t="n"/>
      <c r="U50" s="393" t="n"/>
      <c r="V50" s="393" t="n"/>
      <c r="W50" s="393" t="n"/>
      <c r="X50" s="393" t="inlineStr">
        <is>
          <t>-</t>
        </is>
      </c>
      <c r="Y50" s="393" t="inlineStr">
        <is>
          <t>-</t>
        </is>
      </c>
      <c r="Z50" s="393" t="inlineStr">
        <is>
          <t>-</t>
        </is>
      </c>
      <c r="AA50" s="393" t="inlineStr">
        <is>
          <t>-</t>
        </is>
      </c>
      <c r="AB50" s="393" t="inlineStr">
        <is>
          <t>-</t>
        </is>
      </c>
      <c r="AC50" s="393" t="inlineStr">
        <is>
          <t>-</t>
        </is>
      </c>
      <c r="AD50" s="393" t="inlineStr">
        <is>
          <t>-</t>
        </is>
      </c>
      <c r="AE50" s="393" t="inlineStr">
        <is>
          <t>-</t>
        </is>
      </c>
    </row>
    <row r="51" ht="15.75" customFormat="1" customHeight="1" s="301" thickBot="1">
      <c r="B51" s="265" t="inlineStr">
        <is>
          <t>M41</t>
        </is>
      </c>
      <c r="C51" s="265" t="n"/>
      <c r="D51" s="265" t="n"/>
      <c r="E51" s="265" t="n"/>
      <c r="F51" s="266" t="n"/>
      <c r="G51" s="400" t="n"/>
      <c r="H51" s="392" t="n"/>
      <c r="I51" s="400" t="n"/>
      <c r="J51" s="391" t="n"/>
      <c r="K51" s="271" t="n"/>
      <c r="L51" s="272" t="n"/>
      <c r="M51" s="271" t="n"/>
      <c r="N51" s="392" t="n"/>
      <c r="O51" s="274" t="n"/>
      <c r="P51" s="275" t="n"/>
      <c r="Q51" s="283" t="n"/>
      <c r="R51" s="392" t="n"/>
      <c r="S51" s="276" t="n"/>
      <c r="T51" s="277" t="n"/>
      <c r="U51" s="272" t="n"/>
      <c r="V51" s="278" t="n"/>
      <c r="W51" s="279" t="n"/>
      <c r="X51" s="391">
        <f>(U51/($U$2/$U$3))</f>
        <v/>
      </c>
      <c r="Y51" s="391">
        <f>(V51/($V$2/$V$3))</f>
        <v/>
      </c>
      <c r="Z51" s="391">
        <f>(W51/($W$2/$W$3))</f>
        <v/>
      </c>
      <c r="AA51" s="391">
        <f>(Y51)/SQRT(((Z51+X51)/2))</f>
        <v/>
      </c>
      <c r="AB51" s="391">
        <f>IF(AA51&lt;3,"NINGUNO",IF(AA51&lt;=9,"LEVE O MODERADO","SEVERO"))</f>
        <v/>
      </c>
      <c r="AC51" s="280" t="n">
        <v>5</v>
      </c>
      <c r="AD51" s="280" t="n">
        <v>3</v>
      </c>
      <c r="AE51" s="280" t="n">
        <v>2</v>
      </c>
    </row>
    <row r="52" ht="15.75" customFormat="1" customHeight="1" s="301" thickBot="1">
      <c r="B52" s="265" t="inlineStr">
        <is>
          <t>M42</t>
        </is>
      </c>
      <c r="C52" s="265" t="n"/>
      <c r="D52" s="265" t="n"/>
      <c r="E52" s="265" t="n"/>
      <c r="F52" s="266" t="n"/>
      <c r="G52" s="403" t="n"/>
      <c r="H52" s="392" t="n"/>
      <c r="I52" s="400" t="n"/>
      <c r="J52" s="391" t="n"/>
      <c r="K52" s="271" t="n"/>
      <c r="L52" s="272" t="n"/>
      <c r="M52" s="271" t="n"/>
      <c r="N52" s="392" t="n"/>
      <c r="O52" s="274" t="n"/>
      <c r="P52" s="275" t="n"/>
      <c r="Q52" s="283" t="n"/>
      <c r="R52" s="392" t="n"/>
      <c r="S52" s="276" t="n"/>
      <c r="T52" s="277" t="n"/>
      <c r="U52" s="272" t="n"/>
      <c r="V52" s="278" t="n"/>
      <c r="W52" s="279" t="n"/>
      <c r="X52" s="391" t="n">
        <v>0</v>
      </c>
      <c r="Y52" s="391">
        <f>(V52/($V$2/$V$3))</f>
        <v/>
      </c>
      <c r="Z52" s="391">
        <f>(W52/($W$2/$W$3))</f>
        <v/>
      </c>
      <c r="AA52" s="391">
        <f>(Y52)/SQRT(((Z52+X52)/2))</f>
        <v/>
      </c>
      <c r="AB52" s="391">
        <f>IF(AA52&lt;3,"NINGUNO",IF(AA52&lt;=9,"LEVE O MODERADO","SEVERO"))</f>
        <v/>
      </c>
      <c r="AC52" s="280" t="n">
        <v>60</v>
      </c>
      <c r="AD52" s="281" t="n">
        <v>0</v>
      </c>
      <c r="AE52" s="281" t="n">
        <v>0</v>
      </c>
    </row>
    <row r="53" ht="15.75" customFormat="1" customHeight="1" s="302" thickBot="1">
      <c r="B53" s="237" t="inlineStr">
        <is>
          <t>M43</t>
        </is>
      </c>
      <c r="C53" s="237" t="n"/>
      <c r="D53" s="237" t="n"/>
      <c r="E53" s="237" t="n"/>
      <c r="F53" s="220" t="n"/>
      <c r="G53" s="399" t="n"/>
      <c r="H53" s="394" t="n"/>
      <c r="I53" s="393" t="n"/>
      <c r="J53" s="396" t="n"/>
      <c r="K53" s="247" t="n"/>
      <c r="L53" s="246" t="n"/>
      <c r="M53" s="247" t="n"/>
      <c r="N53" s="394" t="n"/>
      <c r="O53" s="394" t="n"/>
      <c r="P53" s="234" t="n"/>
      <c r="Q53" s="258" t="n"/>
      <c r="R53" s="394" t="n"/>
      <c r="S53" s="254" t="n"/>
      <c r="T53" s="248" t="n"/>
      <c r="U53" s="246" t="n"/>
      <c r="V53" s="255" t="n"/>
      <c r="W53" s="238" t="n"/>
      <c r="X53" s="396" t="n">
        <v>0</v>
      </c>
      <c r="Y53" s="396">
        <f>(V53/($V$2/$V$3))</f>
        <v/>
      </c>
      <c r="Z53" s="396">
        <f>(W53/($W$2/$W$3))</f>
        <v/>
      </c>
      <c r="AA53" s="396">
        <f>(Y53)/SQRT(((Z53+X53)/2))</f>
        <v/>
      </c>
      <c r="AB53" s="396">
        <f>IF(AA53&lt;3,"NINGUNO",IF(AA53&lt;=9,"LEVE O MODERADO","SEVERO"))</f>
        <v/>
      </c>
      <c r="AC53" s="253" t="inlineStr">
        <is>
          <t>-</t>
        </is>
      </c>
      <c r="AD53" s="253" t="inlineStr">
        <is>
          <t>-</t>
        </is>
      </c>
      <c r="AE53" s="253" t="inlineStr">
        <is>
          <t>-</t>
        </is>
      </c>
    </row>
    <row r="54" ht="15.75" customFormat="1" customHeight="1" s="301" thickBot="1">
      <c r="B54" s="265" t="inlineStr">
        <is>
          <t>M44</t>
        </is>
      </c>
      <c r="C54" s="265" t="n"/>
      <c r="D54" s="265" t="n"/>
      <c r="E54" s="265" t="n"/>
      <c r="F54" s="266" t="n"/>
      <c r="G54" s="400" t="n"/>
      <c r="H54" s="392" t="n"/>
      <c r="I54" s="400" t="n"/>
      <c r="J54" s="391" t="n"/>
      <c r="K54" s="271" t="n"/>
      <c r="L54" s="391" t="n"/>
      <c r="M54" s="271" t="n"/>
      <c r="N54" s="392" t="n"/>
      <c r="O54" s="274" t="n"/>
      <c r="P54" s="275" t="n"/>
      <c r="Q54" s="283" t="n"/>
      <c r="R54" s="392" t="n"/>
      <c r="S54" s="276" t="n"/>
      <c r="T54" s="277" t="n"/>
      <c r="U54" s="272" t="n"/>
      <c r="V54" s="278" t="n"/>
      <c r="W54" s="279" t="n"/>
      <c r="X54" s="391" t="n">
        <v>0</v>
      </c>
      <c r="Y54" s="391">
        <f>(V54/($V$2/$V$3))</f>
        <v/>
      </c>
      <c r="Z54" s="391">
        <f>(W54/($W$2/$W$3))</f>
        <v/>
      </c>
      <c r="AA54" s="391">
        <f>(Y54)/SQRT(((Z54+X54)/2))</f>
        <v/>
      </c>
      <c r="AB54" s="391">
        <f>IF(AA54&lt;3,"NINGUNO",IF(AA54&lt;=9,"LEVE O MODERADO","SEVERO"))</f>
        <v/>
      </c>
      <c r="AC54" s="280" t="n">
        <v>200</v>
      </c>
      <c r="AD54" s="281" t="n">
        <v>0</v>
      </c>
      <c r="AE54" s="281" t="n">
        <v>0</v>
      </c>
    </row>
    <row r="55" ht="15.75" customFormat="1" customHeight="1" s="302" thickBot="1">
      <c r="B55" s="237" t="inlineStr">
        <is>
          <t>M45</t>
        </is>
      </c>
      <c r="C55" s="237" t="n"/>
      <c r="D55" s="237" t="n"/>
      <c r="E55" s="237" t="n"/>
      <c r="F55" s="220" t="n"/>
      <c r="G55" s="393" t="n"/>
      <c r="H55" s="394" t="n"/>
      <c r="I55" s="393" t="n"/>
      <c r="J55" s="396" t="n"/>
      <c r="K55" s="247" t="n"/>
      <c r="L55" s="396" t="n"/>
      <c r="M55" s="247" t="n"/>
      <c r="N55" s="394" t="n"/>
      <c r="O55" s="250" t="n"/>
      <c r="P55" s="234" t="n"/>
      <c r="Q55" s="258" t="n"/>
      <c r="R55" s="394" t="n"/>
      <c r="S55" s="254" t="n"/>
      <c r="T55" s="248" t="n"/>
      <c r="U55" s="246" t="n"/>
      <c r="V55" s="255" t="n"/>
      <c r="W55" s="238" t="n"/>
      <c r="X55" s="396" t="n">
        <v>0</v>
      </c>
      <c r="Y55" s="396">
        <f>(V55/($V$2/$V$3))</f>
        <v/>
      </c>
      <c r="Z55" s="396">
        <f>(W55/($W$2/$W$3))</f>
        <v/>
      </c>
      <c r="AA55" s="396">
        <f>(Y55)/SQRT(((Z55+X55)/2))</f>
        <v/>
      </c>
      <c r="AB55" s="396">
        <f>IF(AA55&lt;3,"NINGUNO",IF(AA55&lt;=9,"LEVE O MODERADO","SEVERO"))</f>
        <v/>
      </c>
      <c r="AC55" s="253" t="inlineStr">
        <is>
          <t>-</t>
        </is>
      </c>
      <c r="AD55" s="253" t="inlineStr">
        <is>
          <t>-</t>
        </is>
      </c>
      <c r="AE55" s="253" t="inlineStr">
        <is>
          <t>-</t>
        </is>
      </c>
    </row>
    <row r="56" ht="24.75" customFormat="1" customHeight="1" s="301" thickBot="1">
      <c r="B56" s="265" t="inlineStr">
        <is>
          <t>M46</t>
        </is>
      </c>
      <c r="C56" s="265" t="n"/>
      <c r="D56" s="265" t="n"/>
      <c r="E56" s="265" t="n"/>
      <c r="F56" s="266" t="n"/>
      <c r="G56" s="407" t="n"/>
      <c r="H56" s="406" t="n"/>
      <c r="I56" s="407" t="n"/>
      <c r="J56" s="406" t="n"/>
      <c r="K56" s="271" t="n"/>
      <c r="L56" s="272" t="n"/>
      <c r="M56" s="271" t="n"/>
      <c r="N56" s="406" t="n"/>
      <c r="O56" s="274" t="n"/>
      <c r="P56" s="275" t="n"/>
      <c r="Q56" s="283" t="n"/>
      <c r="R56" s="392" t="n"/>
      <c r="S56" s="276" t="n"/>
      <c r="T56" s="277" t="n"/>
      <c r="U56" s="272" t="n"/>
      <c r="V56" s="278" t="n"/>
      <c r="W56" s="279" t="n"/>
      <c r="X56" s="391">
        <f>(U56/($U$2/$U$3))</f>
        <v/>
      </c>
      <c r="Y56" s="391">
        <f>(V56/($V$2/$V$3))</f>
        <v/>
      </c>
      <c r="Z56" s="391">
        <f>(W56/($W$2/$W$3))</f>
        <v/>
      </c>
      <c r="AA56" s="391">
        <f>(Y56)/SQRT(((Z56+X56)/2))</f>
        <v/>
      </c>
      <c r="AB56" s="391">
        <f>IF(AA56&lt;3,"NINGUNO",IF(AA56&lt;=9,"LEVE O MODERADO","SEVERO"))</f>
        <v/>
      </c>
      <c r="AC56" s="280" t="n">
        <v>50</v>
      </c>
      <c r="AD56" s="280" t="n">
        <v>2</v>
      </c>
      <c r="AE56" s="280" t="n">
        <v>2</v>
      </c>
    </row>
    <row r="57" ht="24.75" customFormat="1" customHeight="1" s="301" thickBot="1">
      <c r="B57" s="265" t="inlineStr">
        <is>
          <t>M47</t>
        </is>
      </c>
      <c r="C57" s="265" t="n"/>
      <c r="D57" s="265" t="n"/>
      <c r="E57" s="265" t="n"/>
      <c r="F57" s="266" t="n"/>
      <c r="G57" s="400" t="n"/>
      <c r="H57" s="392" t="n"/>
      <c r="I57" s="400" t="n"/>
      <c r="J57" s="391" t="n"/>
      <c r="K57" s="271" t="n"/>
      <c r="L57" s="272" t="n"/>
      <c r="M57" s="271" t="n"/>
      <c r="N57" s="392" t="n"/>
      <c r="O57" s="392" t="n"/>
      <c r="P57" s="275" t="n"/>
      <c r="Q57" s="283" t="n"/>
      <c r="R57" s="392" t="n"/>
      <c r="S57" s="276" t="n"/>
      <c r="T57" s="277" t="n"/>
      <c r="U57" s="272" t="n"/>
      <c r="V57" s="278" t="n"/>
      <c r="W57" s="279" t="n"/>
      <c r="X57" s="391">
        <f>(U57/($U$2/$U$3))</f>
        <v/>
      </c>
      <c r="Y57" s="391">
        <f>(V57/($V$2/$V$3))</f>
        <v/>
      </c>
      <c r="Z57" s="391">
        <f>(W57/($W$2/$W$3))</f>
        <v/>
      </c>
      <c r="AA57" s="391">
        <f>(Y57)/SQRT(((Z57+X57)/2))</f>
        <v/>
      </c>
      <c r="AB57" s="391">
        <f>IF(AA57&lt;3,"NINGUNO",IF(AA57&lt;=9,"LEVE O MODERADO","SEVERO"))</f>
        <v/>
      </c>
      <c r="AC57" s="280" t="n">
        <v>120</v>
      </c>
      <c r="AD57" s="280" t="n">
        <v>5</v>
      </c>
      <c r="AE57" s="280" t="n">
        <v>5</v>
      </c>
    </row>
    <row r="58" ht="24.75" customFormat="1" customHeight="1" s="301" thickBot="1">
      <c r="B58" s="265" t="inlineStr">
        <is>
          <t>M48</t>
        </is>
      </c>
      <c r="C58" s="265" t="n"/>
      <c r="D58" s="265" t="n"/>
      <c r="E58" s="265" t="n"/>
      <c r="F58" s="266" t="n"/>
      <c r="G58" s="400" t="n"/>
      <c r="H58" s="392" t="n"/>
      <c r="I58" s="400" t="n"/>
      <c r="J58" s="391" t="n"/>
      <c r="K58" s="272" t="n"/>
      <c r="L58" s="272" t="n"/>
      <c r="M58" s="271" t="n"/>
      <c r="N58" s="392" t="n"/>
      <c r="O58" s="392" t="n"/>
      <c r="P58" s="275" t="n"/>
      <c r="Q58" s="283" t="n"/>
      <c r="R58" s="392" t="n"/>
      <c r="S58" s="276" t="n"/>
      <c r="T58" s="277" t="n"/>
      <c r="U58" s="272" t="n"/>
      <c r="V58" s="278" t="n"/>
      <c r="W58" s="279" t="n"/>
      <c r="X58" s="391">
        <f>(U58/($U$2/$U$3))</f>
        <v/>
      </c>
      <c r="Y58" s="391">
        <f>(V58/($V$2/$V$3))</f>
        <v/>
      </c>
      <c r="Z58" s="391">
        <f>(W58/($W$2/$W$3))</f>
        <v/>
      </c>
      <c r="AA58" s="391">
        <f>(Y58)/SQRT(((Z58+X58)/2))</f>
        <v/>
      </c>
      <c r="AB58" s="391">
        <f>IF(AA58&lt;3,"NINGUNO",IF(AA58&lt;=9,"LEVE O MODERADO","SEVERO"))</f>
        <v/>
      </c>
      <c r="AC58" s="280" t="n">
        <v>95</v>
      </c>
      <c r="AD58" s="280" t="n">
        <v>20</v>
      </c>
      <c r="AE58" s="280" t="n">
        <v>2</v>
      </c>
    </row>
    <row r="59" ht="24.6" customFormat="1" customHeight="1" s="301" thickBot="1">
      <c r="B59" s="265" t="inlineStr">
        <is>
          <t>M49</t>
        </is>
      </c>
      <c r="C59" s="265" t="n"/>
      <c r="D59" s="265" t="n"/>
      <c r="E59" s="265" t="n"/>
      <c r="F59" s="266" t="n"/>
      <c r="G59" s="400" t="n"/>
      <c r="H59" s="392" t="n"/>
      <c r="I59" s="400" t="n"/>
      <c r="J59" s="391" t="n"/>
      <c r="K59" s="271" t="n"/>
      <c r="L59" s="272" t="n"/>
      <c r="M59" s="271" t="n"/>
      <c r="N59" s="392" t="n"/>
      <c r="O59" s="392" t="n"/>
      <c r="P59" s="275" t="n"/>
      <c r="Q59" s="402" t="n"/>
      <c r="R59" s="274" t="n"/>
      <c r="S59" s="276" t="n"/>
      <c r="T59" s="277" t="n"/>
      <c r="U59" s="272" t="n"/>
      <c r="V59" s="278" t="n"/>
      <c r="W59" s="279" t="n"/>
      <c r="X59" s="391">
        <f>(U59/($U$2/$U$3))</f>
        <v/>
      </c>
      <c r="Y59" s="391">
        <f>(V59/($V$2/$V$3))</f>
        <v/>
      </c>
      <c r="Z59" s="391">
        <f>(W59/($W$2/$W$3))</f>
        <v/>
      </c>
      <c r="AA59" s="391">
        <f>(Y59)/SQRT(((Z59+X59)/2))</f>
        <v/>
      </c>
      <c r="AB59" s="391">
        <f>IF(AA59&lt;3,"NINGUNO",IF(AA59&lt;=9,"LEVE O MODERADO","SEVERO"))</f>
        <v/>
      </c>
      <c r="AC59" s="280" t="n">
        <v>5</v>
      </c>
      <c r="AD59" s="280" t="n">
        <v>2</v>
      </c>
      <c r="AE59" s="280" t="n">
        <v>2</v>
      </c>
    </row>
    <row r="60" ht="24.75" customFormat="1" customHeight="1" s="301" thickBot="1">
      <c r="B60" s="265" t="inlineStr">
        <is>
          <t>M50</t>
        </is>
      </c>
      <c r="C60" s="265" t="n"/>
      <c r="D60" s="265" t="n"/>
      <c r="E60" s="265" t="n"/>
      <c r="F60" s="266" t="n"/>
      <c r="G60" s="400" t="n"/>
      <c r="H60" s="392" t="n"/>
      <c r="I60" s="400" t="n"/>
      <c r="J60" s="391" t="n"/>
      <c r="K60" s="271" t="n"/>
      <c r="L60" s="272" t="n"/>
      <c r="M60" s="271" t="n"/>
      <c r="N60" s="392" t="n"/>
      <c r="O60" s="274" t="n"/>
      <c r="P60" s="275" t="n"/>
      <c r="Q60" s="402" t="n"/>
      <c r="R60" s="274" t="n"/>
      <c r="S60" s="276" t="n"/>
      <c r="T60" s="277" t="n"/>
      <c r="U60" s="272" t="n"/>
      <c r="V60" s="278" t="n"/>
      <c r="W60" s="279" t="n"/>
      <c r="X60" s="391">
        <f>(U60/($U$2/$U$3))</f>
        <v/>
      </c>
      <c r="Y60" s="391">
        <f>(V60/($V$2/$V$3))</f>
        <v/>
      </c>
      <c r="Z60" s="391">
        <f>(W60/($W$2/$W$3))</f>
        <v/>
      </c>
      <c r="AA60" s="391">
        <f>(Y60)/SQRT(((Z60+X60)/2))</f>
        <v/>
      </c>
      <c r="AB60" s="391">
        <f>IF(AA60&lt;3,"NINGUNO",IF(AA60&lt;=9,"LEVE O MODERADO","SEVERO"))</f>
        <v/>
      </c>
      <c r="AC60" s="280" t="n">
        <v>5</v>
      </c>
      <c r="AD60" s="279" t="n">
        <v>0</v>
      </c>
      <c r="AE60" s="279" t="n">
        <v>0</v>
      </c>
    </row>
    <row r="61" ht="24.75" customFormat="1" customHeight="1" s="301" thickBot="1">
      <c r="B61" s="265" t="inlineStr">
        <is>
          <t>M51</t>
        </is>
      </c>
      <c r="C61" s="265" t="n"/>
      <c r="D61" s="265" t="n"/>
      <c r="E61" s="265" t="n"/>
      <c r="F61" s="266" t="n"/>
      <c r="G61" s="400" t="n"/>
      <c r="H61" s="392" t="n"/>
      <c r="I61" s="400" t="n"/>
      <c r="J61" s="391" t="n"/>
      <c r="K61" s="271" t="n"/>
      <c r="L61" s="272" t="n"/>
      <c r="M61" s="271" t="n"/>
      <c r="N61" s="392" t="n"/>
      <c r="O61" s="274" t="n"/>
      <c r="P61" s="275" t="n"/>
      <c r="Q61" s="283" t="n"/>
      <c r="R61" s="274" t="n"/>
      <c r="S61" s="276" t="n"/>
      <c r="T61" s="277" t="n"/>
      <c r="U61" s="272" t="n"/>
      <c r="V61" s="278" t="n"/>
      <c r="W61" s="279" t="n"/>
      <c r="X61" s="391">
        <f>(U61/($U$2/$U$3))</f>
        <v/>
      </c>
      <c r="Y61" s="391">
        <f>(V61/($V$2/$V$3))</f>
        <v/>
      </c>
      <c r="Z61" s="391">
        <f>(W61/($W$2/$W$3))</f>
        <v/>
      </c>
      <c r="AA61" s="391">
        <f>(Y61)/SQRT(((Z61+X61)/2))</f>
        <v/>
      </c>
      <c r="AB61" s="391">
        <f>IF(AA61&lt;3,"NINGUNO",IF(AA61&lt;=9,"LEVE O MODERADO","SEVERO"))</f>
        <v/>
      </c>
      <c r="AC61" s="280" t="n">
        <v>30</v>
      </c>
      <c r="AD61" s="280" t="n">
        <v>2</v>
      </c>
      <c r="AE61" s="280" t="n">
        <v>2</v>
      </c>
    </row>
    <row r="62" ht="24.75" customFormat="1" customHeight="1" s="301" thickBot="1">
      <c r="B62" s="265" t="inlineStr">
        <is>
          <t>M52</t>
        </is>
      </c>
      <c r="C62" s="265" t="n"/>
      <c r="D62" s="265" t="n"/>
      <c r="E62" s="265" t="n"/>
      <c r="F62" s="266" t="n"/>
      <c r="G62" s="400" t="n"/>
      <c r="H62" s="392" t="n"/>
      <c r="I62" s="400" t="n"/>
      <c r="J62" s="391" t="n"/>
      <c r="K62" s="271" t="n"/>
      <c r="L62" s="391" t="n"/>
      <c r="M62" s="271" t="n"/>
      <c r="N62" s="392" t="n"/>
      <c r="O62" s="274" t="n"/>
      <c r="P62" s="275" t="n"/>
      <c r="Q62" s="283" t="n"/>
      <c r="R62" s="274" t="n"/>
      <c r="S62" s="276" t="n"/>
      <c r="T62" s="277" t="n"/>
      <c r="U62" s="272" t="n"/>
      <c r="V62" s="278" t="n"/>
      <c r="W62" s="279" t="n"/>
      <c r="X62" s="391">
        <f>(U62/($U$2/$U$3))</f>
        <v/>
      </c>
      <c r="Y62" s="391">
        <f>(V62/($V$2/$V$3))</f>
        <v/>
      </c>
      <c r="Z62" s="391">
        <f>(W62/($W$2/$W$3))</f>
        <v/>
      </c>
      <c r="AA62" s="391">
        <f>(Y62)/SQRT(((Z62+X62)/2))</f>
        <v/>
      </c>
      <c r="AB62" s="391">
        <f>IF(AA62&lt;3,"NINGUNO",IF(AA62&lt;=9,"LEVE O MODERADO","SEVERO"))</f>
        <v/>
      </c>
      <c r="AC62" s="280" t="n">
        <v>15</v>
      </c>
      <c r="AD62" s="280" t="n">
        <v>2</v>
      </c>
      <c r="AE62" s="280" t="n">
        <v>1</v>
      </c>
    </row>
    <row r="63" ht="24.75" customFormat="1" customHeight="1" s="301" thickBot="1">
      <c r="B63" s="265" t="inlineStr">
        <is>
          <t>M53</t>
        </is>
      </c>
      <c r="C63" s="265" t="n"/>
      <c r="D63" s="265" t="n"/>
      <c r="E63" s="265" t="n"/>
      <c r="F63" s="266" t="n"/>
      <c r="G63" s="400" t="n"/>
      <c r="H63" s="392" t="n"/>
      <c r="I63" s="400" t="n"/>
      <c r="J63" s="391" t="n"/>
      <c r="K63" s="271" t="n"/>
      <c r="L63" s="272" t="n"/>
      <c r="M63" s="271" t="n"/>
      <c r="N63" s="392" t="n"/>
      <c r="O63" s="392" t="n"/>
      <c r="P63" s="275" t="n"/>
      <c r="Q63" s="283" t="n"/>
      <c r="R63" s="392" t="n"/>
      <c r="S63" s="276" t="n"/>
      <c r="T63" s="277" t="n"/>
      <c r="U63" s="272" t="n"/>
      <c r="V63" s="278" t="n"/>
      <c r="W63" s="279" t="n"/>
      <c r="X63" s="391">
        <f>(U63/($U$2/$U$3))</f>
        <v/>
      </c>
      <c r="Y63" s="391">
        <f>(V63/($V$2/$V$3))</f>
        <v/>
      </c>
      <c r="Z63" s="391">
        <f>(W63/($W$2/$W$3))</f>
        <v/>
      </c>
      <c r="AA63" s="391">
        <f>(Y63)/SQRT(((Z63+X63)/2))</f>
        <v/>
      </c>
      <c r="AB63" s="391">
        <f>IF(AA63&lt;3,"NINGUNO",IF(AA63&lt;=9,"LEVE O MODERADO","SEVERO"))</f>
        <v/>
      </c>
      <c r="AC63" s="280" t="n">
        <v>75</v>
      </c>
      <c r="AD63" s="280" t="n">
        <v>5</v>
      </c>
      <c r="AE63" s="280" t="n">
        <v>5</v>
      </c>
    </row>
    <row r="64" ht="24.75" customFormat="1" customHeight="1" s="301" thickBot="1">
      <c r="B64" s="265" t="inlineStr">
        <is>
          <t>M54</t>
        </is>
      </c>
      <c r="C64" s="265" t="n"/>
      <c r="D64" s="265" t="n"/>
      <c r="E64" s="265" t="n"/>
      <c r="F64" s="266" t="n"/>
      <c r="G64" s="410" t="n"/>
      <c r="H64" s="392" t="n"/>
      <c r="I64" s="400" t="n"/>
      <c r="J64" s="404" t="n"/>
      <c r="K64" s="272" t="n"/>
      <c r="L64" s="272" t="n"/>
      <c r="M64" s="271" t="n"/>
      <c r="N64" s="392" t="n"/>
      <c r="O64" s="274" t="n"/>
      <c r="P64" s="275" t="n"/>
      <c r="Q64" s="283" t="n"/>
      <c r="R64" s="274" t="n"/>
      <c r="S64" s="276" t="n"/>
      <c r="T64" s="277" t="n"/>
      <c r="U64" s="272" t="n"/>
      <c r="V64" s="278" t="n"/>
      <c r="W64" s="279" t="n"/>
      <c r="X64" s="391">
        <f>(U64/($U$2/$U$3))</f>
        <v/>
      </c>
      <c r="Y64" s="391">
        <f>(V64/($V$2/$V$3))</f>
        <v/>
      </c>
      <c r="Z64" s="391">
        <f>(W64/($W$2/$W$3))</f>
        <v/>
      </c>
      <c r="AA64" s="391">
        <f>(Y64)/SQRT(((Z64+X64)/2))</f>
        <v/>
      </c>
      <c r="AB64" s="391">
        <f>IF(AA64&lt;3,"NINGUNO",IF(AA64&lt;=9,"LEVE O MODERADO","SEVERO"))</f>
        <v/>
      </c>
      <c r="AC64" s="280" t="n">
        <v>35</v>
      </c>
      <c r="AD64" s="280" t="n">
        <v>10</v>
      </c>
      <c r="AE64" s="280" t="n">
        <v>5</v>
      </c>
    </row>
    <row r="65" ht="24.75" customFormat="1" customHeight="1" s="302" thickBot="1">
      <c r="B65" s="237" t="inlineStr">
        <is>
          <t>M55</t>
        </is>
      </c>
      <c r="C65" s="237" t="n"/>
      <c r="D65" s="237" t="n"/>
      <c r="E65" s="237" t="n"/>
      <c r="F65" s="220" t="n"/>
      <c r="G65" s="411" t="n"/>
      <c r="H65" s="412" t="n"/>
      <c r="I65" s="413" t="n"/>
      <c r="J65" s="398" t="n"/>
      <c r="K65" s="247" t="n"/>
      <c r="L65" s="246" t="n"/>
      <c r="M65" s="247" t="n"/>
      <c r="N65" s="394" t="n"/>
      <c r="O65" s="394" t="n"/>
      <c r="P65" s="234" t="n"/>
      <c r="Q65" s="258" t="n"/>
      <c r="R65" s="250" t="n"/>
      <c r="S65" s="254" t="n"/>
      <c r="T65" s="248" t="n"/>
      <c r="U65" s="246" t="n"/>
      <c r="V65" s="255" t="n"/>
      <c r="W65" s="238" t="n"/>
      <c r="X65" s="396">
        <f>(U65/($U$2/$U$3))</f>
        <v/>
      </c>
      <c r="Y65" s="396">
        <f>(V65/($V$2/$V$3))</f>
        <v/>
      </c>
      <c r="Z65" s="396">
        <f>(W65/($W$2/$W$3))</f>
        <v/>
      </c>
      <c r="AA65" s="396">
        <f>(Y65)/SQRT(((Z65+X65)/2))</f>
        <v/>
      </c>
      <c r="AB65" s="396">
        <f>IF(AA65&lt;3,"NINGUNO",IF(AA65&lt;=9,"LEVE O MODERADO","SEVERO"))</f>
        <v/>
      </c>
      <c r="AC65" s="253" t="inlineStr">
        <is>
          <t>-</t>
        </is>
      </c>
      <c r="AD65" s="253" t="inlineStr">
        <is>
          <t>-</t>
        </is>
      </c>
      <c r="AE65" s="253" t="inlineStr">
        <is>
          <t>-</t>
        </is>
      </c>
    </row>
    <row r="66" ht="24.75" customFormat="1" customHeight="1" s="302" thickBot="1">
      <c r="B66" s="237" t="inlineStr">
        <is>
          <t>M56</t>
        </is>
      </c>
      <c r="C66" s="237" t="n"/>
      <c r="D66" s="237" t="n"/>
      <c r="E66" s="237" t="n"/>
      <c r="F66" s="220" t="n"/>
      <c r="G66" s="411" t="n"/>
      <c r="H66" s="412" t="n"/>
      <c r="I66" s="413" t="n"/>
      <c r="J66" s="398" t="n"/>
      <c r="K66" s="247" t="n"/>
      <c r="L66" s="396" t="n"/>
      <c r="M66" s="247" t="n"/>
      <c r="N66" s="394" t="n"/>
      <c r="O66" s="250" t="n"/>
      <c r="P66" s="235" t="n"/>
      <c r="Q66" s="397" t="n"/>
      <c r="R66" s="394" t="n"/>
      <c r="S66" s="254" t="n"/>
      <c r="T66" s="248" t="n"/>
      <c r="U66" s="246" t="n"/>
      <c r="V66" s="255" t="n"/>
      <c r="W66" s="238" t="n"/>
      <c r="X66" s="396">
        <f>(U66/($U$2/$U$3))</f>
        <v/>
      </c>
      <c r="Y66" s="396">
        <f>(V66/($V$2/$V$3))</f>
        <v/>
      </c>
      <c r="Z66" s="396">
        <f>(W66/($W$2/$W$3))</f>
        <v/>
      </c>
      <c r="AA66" s="396">
        <f>(Y66)/SQRT(((Z66+X66)/2))</f>
        <v/>
      </c>
      <c r="AB66" s="396">
        <f>IF(AA66&lt;3,"NINGUNO",IF(AA66&lt;=9,"LEVE O MODERADO","SEVERO"))</f>
        <v/>
      </c>
      <c r="AC66" s="253" t="inlineStr">
        <is>
          <t>-</t>
        </is>
      </c>
      <c r="AD66" s="253" t="inlineStr">
        <is>
          <t>-</t>
        </is>
      </c>
      <c r="AE66" s="253" t="inlineStr">
        <is>
          <t>-</t>
        </is>
      </c>
    </row>
    <row r="67" ht="24.75" customFormat="1" customHeight="1" s="302" thickBot="1">
      <c r="B67" s="237" t="inlineStr">
        <is>
          <t>M57</t>
        </is>
      </c>
      <c r="C67" s="237" t="n"/>
      <c r="D67" s="237" t="n"/>
      <c r="E67" s="237" t="n"/>
      <c r="F67" s="220" t="n"/>
      <c r="G67" s="411" t="n"/>
      <c r="H67" s="412" t="n"/>
      <c r="I67" s="413" t="n"/>
      <c r="J67" s="398" t="n"/>
      <c r="K67" s="247" t="n"/>
      <c r="L67" s="246" t="n"/>
      <c r="M67" s="247" t="n"/>
      <c r="N67" s="394" t="n"/>
      <c r="O67" s="250" t="n"/>
      <c r="P67" s="235" t="n"/>
      <c r="Q67" s="394" t="n"/>
      <c r="R67" s="394" t="n"/>
      <c r="S67" s="254" t="n"/>
      <c r="T67" s="248" t="n"/>
      <c r="U67" s="246" t="n"/>
      <c r="V67" s="255" t="n"/>
      <c r="W67" s="238" t="n"/>
      <c r="X67" s="396">
        <f>(U67/($U$2/$U$3))</f>
        <v/>
      </c>
      <c r="Y67" s="396">
        <f>(V67/($V$2/$V$3))</f>
        <v/>
      </c>
      <c r="Z67" s="396">
        <f>(W67/($W$2/$W$3))</f>
        <v/>
      </c>
      <c r="AA67" s="396">
        <f>(Y67)/SQRT(((Z67+X67)/2))</f>
        <v/>
      </c>
      <c r="AB67" s="396">
        <f>IF(AA67&lt;3,"NINGUNO",IF(AA67&lt;=9,"LEVE O MODERADO","SEVERO"))</f>
        <v/>
      </c>
      <c r="AC67" s="253" t="inlineStr">
        <is>
          <t>-</t>
        </is>
      </c>
      <c r="AD67" s="253" t="inlineStr">
        <is>
          <t>-</t>
        </is>
      </c>
      <c r="AE67" s="253" t="inlineStr">
        <is>
          <t>-</t>
        </is>
      </c>
    </row>
    <row r="68" ht="24.75" customFormat="1" customHeight="1" s="301" thickBot="1">
      <c r="B68" s="265" t="inlineStr">
        <is>
          <t>M58</t>
        </is>
      </c>
      <c r="C68" s="265" t="n"/>
      <c r="D68" s="265" t="n"/>
      <c r="E68" s="265" t="n"/>
      <c r="F68" s="266" t="n"/>
      <c r="G68" s="410" t="n"/>
      <c r="H68" s="414" t="n"/>
      <c r="I68" s="415" t="n"/>
      <c r="J68" s="404" t="n"/>
      <c r="K68" s="271" t="n"/>
      <c r="L68" s="272" t="n"/>
      <c r="M68" s="271" t="n"/>
      <c r="N68" s="392" t="n"/>
      <c r="O68" s="274" t="n"/>
      <c r="P68" s="289" t="n"/>
      <c r="Q68" s="402" t="n"/>
      <c r="R68" s="392" t="n"/>
      <c r="S68" s="276" t="n"/>
      <c r="T68" s="277" t="n"/>
      <c r="U68" s="272" t="n"/>
      <c r="V68" s="278" t="n"/>
      <c r="W68" s="279" t="n"/>
      <c r="X68" s="391">
        <f>(U68/($U$2/$U$3))</f>
        <v/>
      </c>
      <c r="Y68" s="391">
        <f>(V68/($V$2/$V$3))</f>
        <v/>
      </c>
      <c r="Z68" s="391">
        <f>(W68/($W$2/$W$3))</f>
        <v/>
      </c>
      <c r="AA68" s="391">
        <f>(Y68)/SQRT(((Z68+X68)/2))</f>
        <v/>
      </c>
      <c r="AB68" s="391">
        <f>IF(AA68&lt;3,"NINGUNO",IF(AA68&lt;=9,"LEVE O MODERADO","SEVERO"))</f>
        <v/>
      </c>
      <c r="AC68" s="280" t="n">
        <v>25</v>
      </c>
      <c r="AD68" s="280" t="n">
        <v>2</v>
      </c>
      <c r="AE68" s="280" t="n">
        <v>2</v>
      </c>
    </row>
    <row r="69" ht="24.75" customFormat="1" customHeight="1" s="302" thickBot="1">
      <c r="B69" s="237" t="inlineStr">
        <is>
          <t>M59</t>
        </is>
      </c>
      <c r="C69" s="237" t="n"/>
      <c r="D69" s="237" t="n"/>
      <c r="E69" s="237" t="n"/>
      <c r="F69" s="220" t="n"/>
      <c r="G69" s="411" t="n"/>
      <c r="H69" s="412" t="n"/>
      <c r="I69" s="413" t="n"/>
      <c r="J69" s="398" t="n"/>
      <c r="K69" s="246" t="n"/>
      <c r="L69" s="246" t="n"/>
      <c r="M69" s="247" t="n"/>
      <c r="N69" s="394" t="n"/>
      <c r="O69" s="250" t="n"/>
      <c r="P69" s="235" t="n"/>
      <c r="Q69" s="397" t="n"/>
      <c r="R69" s="394" t="n"/>
      <c r="S69" s="254" t="n"/>
      <c r="T69" s="248" t="n"/>
      <c r="U69" s="246" t="n"/>
      <c r="V69" s="255" t="n"/>
      <c r="W69" s="238" t="n"/>
      <c r="X69" s="396">
        <f>(U69/($U$2/$U$3))</f>
        <v/>
      </c>
      <c r="Y69" s="396">
        <f>(V69/($V$2/$V$3))</f>
        <v/>
      </c>
      <c r="Z69" s="396">
        <f>(W69/($W$2/$W$3))</f>
        <v/>
      </c>
      <c r="AA69" s="396">
        <f>(Y69)/SQRT(((Z69+X69)/2))</f>
        <v/>
      </c>
      <c r="AB69" s="396">
        <f>IF(AA69&lt;3,"NINGUNO",IF(AA69&lt;=9,"LEVE O MODERADO","SEVERO"))</f>
        <v/>
      </c>
      <c r="AC69" s="253" t="inlineStr">
        <is>
          <t>-</t>
        </is>
      </c>
      <c r="AD69" s="253" t="inlineStr">
        <is>
          <t>-</t>
        </is>
      </c>
      <c r="AE69" s="253" t="inlineStr">
        <is>
          <t>-</t>
        </is>
      </c>
    </row>
    <row r="70" ht="24.75" customFormat="1" customHeight="1" s="301" thickBot="1">
      <c r="B70" s="265" t="inlineStr">
        <is>
          <t>M60</t>
        </is>
      </c>
      <c r="C70" s="265" t="n"/>
      <c r="D70" s="265" t="n"/>
      <c r="E70" s="265" t="n"/>
      <c r="F70" s="266" t="n"/>
      <c r="G70" s="410" t="n"/>
      <c r="H70" s="414" t="n"/>
      <c r="I70" s="415" t="n"/>
      <c r="J70" s="404" t="n"/>
      <c r="K70" s="272" t="n"/>
      <c r="L70" s="272" t="n"/>
      <c r="M70" s="271" t="n"/>
      <c r="N70" s="392" t="n"/>
      <c r="O70" s="274" t="n"/>
      <c r="P70" s="289" t="n"/>
      <c r="Q70" s="402" t="n"/>
      <c r="R70" s="392" t="n"/>
      <c r="S70" s="276" t="n"/>
      <c r="T70" s="277" t="n"/>
      <c r="U70" s="272" t="n"/>
      <c r="V70" s="278" t="n"/>
      <c r="W70" s="279" t="n"/>
      <c r="X70" s="391">
        <f>(U70/($U$2/$U$3))</f>
        <v/>
      </c>
      <c r="Y70" s="391">
        <f>(V70/($V$2/$V$3))</f>
        <v/>
      </c>
      <c r="Z70" s="391">
        <f>(W70/($W$2/$W$3))</f>
        <v/>
      </c>
      <c r="AA70" s="391">
        <f>(Y70)/SQRT(((Z70+X70)/2))</f>
        <v/>
      </c>
      <c r="AB70" s="391">
        <f>IF(AA70&lt;3,"NINGUNO",IF(AA70&lt;=9,"LEVE O MODERADO","SEVERO"))</f>
        <v/>
      </c>
      <c r="AC70" s="280" t="n">
        <v>10</v>
      </c>
      <c r="AD70" s="280" t="n">
        <v>5</v>
      </c>
      <c r="AE70" s="280" t="n">
        <v>4</v>
      </c>
    </row>
    <row r="71">
      <c r="B71" s="416" t="inlineStr">
        <is>
          <t>*No se realiza metodo microbiológico requerido para aguas catergia 3 - ECAS. Metodo utilizado para agua subterránea -  Siembra en placa.</t>
        </is>
      </c>
      <c r="C71" s="417" t="n"/>
      <c r="D71" s="417" t="n"/>
      <c r="E71" s="417" t="n"/>
      <c r="F71" s="417" t="n"/>
      <c r="G71" s="417" t="n"/>
      <c r="H71" s="417" t="n"/>
      <c r="I71" s="417" t="n"/>
      <c r="J71" s="417" t="n"/>
      <c r="K71" s="417" t="n"/>
      <c r="L71" s="417" t="n"/>
      <c r="M71" s="417" t="n"/>
      <c r="N71" s="417" t="n"/>
      <c r="O71" s="417" t="n"/>
      <c r="P71" s="417" t="n"/>
      <c r="Q71" s="381" t="n"/>
      <c r="R71" s="299" t="n"/>
      <c r="S71" s="318" t="n"/>
      <c r="T71" s="318" t="n"/>
      <c r="U71" s="318" t="n"/>
      <c r="V71" s="318" t="n"/>
      <c r="W71" s="318" t="n"/>
      <c r="X71" s="318" t="n"/>
      <c r="Y71" s="318" t="n"/>
      <c r="Z71" s="318" t="n"/>
      <c r="AA71" s="318" t="n"/>
      <c r="AB71" s="318" t="n"/>
      <c r="AC71" s="318" t="n"/>
      <c r="AD71" s="318" t="n"/>
      <c r="AE71" s="318" t="n"/>
    </row>
    <row r="72" ht="24.75" customHeight="1" thickBot="1">
      <c r="B72" s="317" t="inlineStr">
        <is>
          <t>+ No se realizó análisis. Pozo inaccesible</t>
        </is>
      </c>
      <c r="N72" s="240" t="n"/>
      <c r="O72" s="305" t="n"/>
      <c r="P72" s="317" t="n"/>
      <c r="Q72" s="317" t="n"/>
      <c r="R72" s="317" t="n"/>
      <c r="S72" s="318" t="n"/>
      <c r="T72" s="318" t="n"/>
      <c r="U72" s="318" t="n"/>
      <c r="V72" s="318" t="n"/>
      <c r="W72" s="318" t="n"/>
      <c r="X72" s="318" t="n"/>
      <c r="Y72" s="318" t="n"/>
      <c r="Z72" s="318" t="n"/>
      <c r="AA72" s="318" t="n"/>
      <c r="AB72" s="318" t="n"/>
      <c r="AC72" s="318" t="n"/>
      <c r="AD72" s="318" t="n"/>
      <c r="AE72" s="318" t="n"/>
    </row>
    <row r="73" ht="15.75" customHeight="1" thickBot="1">
      <c r="B73" s="418" t="n"/>
      <c r="C73" s="317" t="n"/>
      <c r="D73" s="317" t="n"/>
      <c r="E73" s="317" t="n"/>
      <c r="F73" s="317" t="n"/>
      <c r="G73" s="243" t="n"/>
      <c r="H73" s="243" t="n"/>
      <c r="I73" s="243" t="n"/>
      <c r="J73" s="243" t="n"/>
      <c r="K73" s="243" t="n"/>
      <c r="L73" s="243" t="n"/>
      <c r="M73" s="243" t="n"/>
      <c r="N73" s="244" t="n"/>
      <c r="O73" s="306" t="n"/>
      <c r="P73" s="243" t="n"/>
      <c r="Q73" s="243" t="n"/>
      <c r="R73" s="243" t="n"/>
      <c r="S73" s="307" t="n"/>
      <c r="T73" s="307" t="n"/>
      <c r="U73" s="307" t="n"/>
      <c r="V73" s="307" t="n"/>
      <c r="W73" s="307" t="n"/>
      <c r="X73" s="307" t="n"/>
      <c r="Y73" s="307" t="n"/>
      <c r="Z73" s="307" t="n"/>
      <c r="AA73" s="307" t="n"/>
      <c r="AB73" s="307" t="n"/>
      <c r="AC73" s="306" t="n">
        <v>37</v>
      </c>
      <c r="AD73" s="306" t="n">
        <v>23</v>
      </c>
      <c r="AE73" s="306" t="n">
        <v>22</v>
      </c>
    </row>
    <row r="74">
      <c r="B74" s="318" t="n"/>
      <c r="C74" s="318" t="n"/>
      <c r="D74" s="318" t="n"/>
      <c r="E74" s="318" t="n"/>
      <c r="F74" s="318" t="n"/>
      <c r="G74" s="319">
        <f>(G73*100)/39</f>
        <v/>
      </c>
      <c r="H74" s="319">
        <f>(H73*100)/39</f>
        <v/>
      </c>
      <c r="I74" s="319">
        <f>(I73*100)/39</f>
        <v/>
      </c>
      <c r="J74" s="319">
        <f>(J73*100)/39</f>
        <v/>
      </c>
      <c r="K74" s="319">
        <f>(K73*100)/39</f>
        <v/>
      </c>
      <c r="L74" s="319">
        <f>(L73*100)/39</f>
        <v/>
      </c>
      <c r="M74" s="319">
        <f>(M73*100)/39</f>
        <v/>
      </c>
      <c r="N74" s="319">
        <f>(N73*100)/39</f>
        <v/>
      </c>
      <c r="O74" s="319">
        <f>(O73*100)/39</f>
        <v/>
      </c>
      <c r="P74" s="319">
        <f>(P73*100)/39</f>
        <v/>
      </c>
      <c r="Q74" s="319">
        <f>(Q73*100)/39</f>
        <v/>
      </c>
      <c r="R74" s="319">
        <f>(R73*100)/39</f>
        <v/>
      </c>
      <c r="S74" s="319">
        <f>(S73*100)/39</f>
        <v/>
      </c>
      <c r="T74" s="319">
        <f>(T73*100)/39</f>
        <v/>
      </c>
      <c r="U74" s="319">
        <f>(U73*100)/39</f>
        <v/>
      </c>
      <c r="V74" s="319">
        <f>(V73*100)/39</f>
        <v/>
      </c>
      <c r="W74" s="319">
        <f>(W73*100)/39</f>
        <v/>
      </c>
      <c r="X74" s="319">
        <f>(X73*100)/39</f>
        <v/>
      </c>
      <c r="Y74" s="319">
        <f>(Y73*100)/39</f>
        <v/>
      </c>
      <c r="Z74" s="319">
        <f>(Z73*100)/39</f>
        <v/>
      </c>
      <c r="AA74" s="319">
        <f>(AA73*100)/39</f>
        <v/>
      </c>
      <c r="AB74" s="319">
        <f>(AB73*100)/39</f>
        <v/>
      </c>
      <c r="AC74" s="319">
        <f>(AC73*100)/37</f>
        <v/>
      </c>
      <c r="AD74" s="319">
        <f>(AD73*100)/37</f>
        <v/>
      </c>
      <c r="AE74" s="319">
        <f>(AE73*100)/37</f>
        <v/>
      </c>
    </row>
    <row r="75">
      <c r="B75" s="318" t="n"/>
      <c r="C75" s="318" t="n"/>
      <c r="D75" s="318" t="inlineStr">
        <is>
          <t>RIEGO DE VEGETALES</t>
        </is>
      </c>
      <c r="G75" s="319" t="inlineStr">
        <is>
          <t>&gt;15</t>
        </is>
      </c>
      <c r="H75" s="319" t="n"/>
      <c r="I75" s="319" t="n"/>
      <c r="J75" s="319" t="n"/>
      <c r="K75" s="319" t="n"/>
      <c r="L75" s="319" t="n"/>
      <c r="M75" s="319" t="n"/>
      <c r="N75" s="319" t="inlineStr">
        <is>
          <t>&gt;41</t>
        </is>
      </c>
      <c r="O75" s="319" t="inlineStr">
        <is>
          <t>&lt;58&gt;</t>
        </is>
      </c>
      <c r="P75" s="319" t="n"/>
      <c r="Q75" s="319" t="inlineStr">
        <is>
          <t>&lt;14&gt;</t>
        </is>
      </c>
      <c r="R75" s="319" t="n"/>
      <c r="S75" s="319" t="n"/>
      <c r="T75" s="319" t="n"/>
      <c r="U75" s="319" t="n"/>
      <c r="V75" s="319" t="n"/>
      <c r="W75" s="319" t="n"/>
      <c r="X75" s="319" t="n"/>
      <c r="Y75" s="319" t="n"/>
      <c r="Z75" s="319" t="n"/>
      <c r="AA75" s="319" t="n"/>
      <c r="AB75" s="319" t="n"/>
      <c r="AC75" s="319" t="n"/>
      <c r="AD75" s="319" t="n"/>
      <c r="AE75" s="319" t="n"/>
    </row>
    <row r="76">
      <c r="B76" s="318" t="n"/>
      <c r="C76" s="318" t="n"/>
      <c r="D76" s="318" t="inlineStr">
        <is>
          <t>CONSUMO DE ANIMALES</t>
        </is>
      </c>
      <c r="G76" s="319" t="inlineStr">
        <is>
          <t>&gt;1</t>
        </is>
      </c>
      <c r="H76" s="319" t="n"/>
      <c r="I76" s="319" t="n"/>
      <c r="J76" s="319" t="n"/>
      <c r="K76" s="319" t="n"/>
      <c r="L76" s="319" t="n"/>
      <c r="N76" s="319" t="inlineStr">
        <is>
          <t>&gt;34</t>
        </is>
      </c>
      <c r="P76" s="319" t="n"/>
      <c r="R76" s="319" t="n"/>
      <c r="S76" s="319" t="n"/>
      <c r="T76" s="319" t="n"/>
      <c r="U76" s="319" t="n"/>
      <c r="V76" s="319" t="n"/>
      <c r="W76" s="319" t="n"/>
      <c r="X76" s="319" t="n"/>
      <c r="Y76" s="319" t="n"/>
      <c r="Z76" s="319" t="n"/>
      <c r="AA76" s="319" t="n"/>
      <c r="AB76" s="319" t="n"/>
      <c r="AC76" s="319" t="n"/>
      <c r="AD76" s="319" t="n"/>
      <c r="AE76" s="319" t="n"/>
    </row>
    <row r="77">
      <c r="B77" s="318" t="n"/>
      <c r="C77" s="318" t="n"/>
      <c r="D77" s="318" t="inlineStr">
        <is>
          <t>HUMANO</t>
        </is>
      </c>
      <c r="G77" s="319" t="inlineStr">
        <is>
          <t>&gt;14</t>
        </is>
      </c>
      <c r="H77" s="319" t="n"/>
      <c r="I77" s="319" t="inlineStr">
        <is>
          <t>&gt;16</t>
        </is>
      </c>
      <c r="J77" s="319" t="n"/>
      <c r="K77" s="319" t="n">
        <v>0</v>
      </c>
      <c r="L77" s="319" t="n"/>
      <c r="M77" s="319" t="inlineStr">
        <is>
          <t>&gt;16</t>
        </is>
      </c>
      <c r="N77" s="319" t="inlineStr">
        <is>
          <t>&gt;12</t>
        </is>
      </c>
      <c r="O77" s="319" t="inlineStr">
        <is>
          <t>&lt;23&gt;</t>
        </is>
      </c>
      <c r="P77" s="319" t="n"/>
      <c r="Q77" s="319" t="inlineStr">
        <is>
          <t>&lt;16&gt;</t>
        </is>
      </c>
      <c r="R77" s="319" t="n"/>
      <c r="S77" s="319" t="inlineStr">
        <is>
          <t>&gt;4</t>
        </is>
      </c>
      <c r="T77" s="319" t="n"/>
      <c r="U77" s="319" t="n"/>
      <c r="V77" s="319" t="inlineStr">
        <is>
          <t>&gt;12</t>
        </is>
      </c>
      <c r="W77" s="319" t="n"/>
      <c r="X77" s="319" t="n"/>
      <c r="Y77" s="319" t="n"/>
      <c r="Z77" s="319" t="n"/>
      <c r="AA77" s="319" t="n"/>
      <c r="AB77" s="319" t="n"/>
      <c r="AC77" s="319" t="n"/>
      <c r="AD77" s="319" t="n"/>
      <c r="AE77" s="319" t="n"/>
    </row>
    <row r="78">
      <c r="B78" s="222" t="n"/>
      <c r="C78" s="318" t="n"/>
      <c r="E78" s="318" t="inlineStr">
        <is>
          <t>MAX</t>
        </is>
      </c>
      <c r="F78" s="318" t="n"/>
      <c r="G78" s="419">
        <f>MAX(G11:G70)</f>
        <v/>
      </c>
      <c r="H78" s="420">
        <f>MAX(H11:H70)</f>
        <v/>
      </c>
      <c r="I78" s="419">
        <f>MAX(I11:I70)</f>
        <v/>
      </c>
      <c r="J78" s="421">
        <f>MAX(J11:J70)</f>
        <v/>
      </c>
      <c r="K78" s="419">
        <f>MAX(K11:K70)</f>
        <v/>
      </c>
      <c r="L78" s="419">
        <f>MAX(L11:L70)</f>
        <v/>
      </c>
      <c r="M78" s="419">
        <f>MAX(M11:M70)</f>
        <v/>
      </c>
      <c r="N78" s="421">
        <f>MAX(N11:N70)</f>
        <v/>
      </c>
      <c r="O78" s="421">
        <f>MAX(O11:O70)</f>
        <v/>
      </c>
      <c r="P78" s="419">
        <f>MAX(P11:P70)</f>
        <v/>
      </c>
      <c r="Q78" s="421">
        <f>MAX(Q11:Q70)</f>
        <v/>
      </c>
      <c r="R78" s="421">
        <f>MAX(R11:R70)</f>
        <v/>
      </c>
      <c r="S78" s="420">
        <f>MAX(S11:S70)</f>
        <v/>
      </c>
      <c r="T78" s="420">
        <f>MAX(T11:T70)</f>
        <v/>
      </c>
      <c r="U78" s="419">
        <f>MAX(U11:U70)</f>
        <v/>
      </c>
      <c r="V78" s="419">
        <f>MAX(V11:V70)</f>
        <v/>
      </c>
      <c r="W78" s="419">
        <f>MAX(W11:W70)</f>
        <v/>
      </c>
      <c r="X78" s="419" t="n"/>
      <c r="Y78" s="419" t="n"/>
      <c r="Z78" s="419" t="n"/>
      <c r="AA78" s="419" t="n"/>
      <c r="AB78" s="419" t="n"/>
      <c r="AC78" s="419">
        <f>MAX(AC11:AC70)</f>
        <v/>
      </c>
      <c r="AD78" s="419">
        <f>MAX(AD11:AD70)</f>
        <v/>
      </c>
      <c r="AE78" s="419">
        <f>MAX(AE11:AE70)</f>
        <v/>
      </c>
    </row>
    <row r="79">
      <c r="B79" s="222" t="n"/>
      <c r="C79" s="318" t="n"/>
      <c r="E79" s="318" t="inlineStr">
        <is>
          <t>MIN</t>
        </is>
      </c>
      <c r="F79" s="318" t="n"/>
      <c r="G79" s="422">
        <f>MIN(G11:G70)</f>
        <v/>
      </c>
      <c r="H79" s="423">
        <f>MIN(H11:H70)</f>
        <v/>
      </c>
      <c r="I79" s="422">
        <f>MIN(I11:I70)</f>
        <v/>
      </c>
      <c r="J79" s="424">
        <f>MIN(J11:J70)</f>
        <v/>
      </c>
      <c r="K79" s="424">
        <f>MIN(K11:K70)</f>
        <v/>
      </c>
      <c r="L79" s="424">
        <f>MIN(L11:L70)</f>
        <v/>
      </c>
      <c r="M79" s="422">
        <f>MIN(M11:M70)</f>
        <v/>
      </c>
      <c r="N79" s="423">
        <f>MIN(N11:N70)</f>
        <v/>
      </c>
      <c r="O79" s="423">
        <f>MIN(O11:O70)</f>
        <v/>
      </c>
      <c r="P79" s="422">
        <f>MIN(P11:P70)</f>
        <v/>
      </c>
      <c r="Q79" s="424">
        <f>MIN(Q11:Q70)</f>
        <v/>
      </c>
      <c r="R79" s="423">
        <f>MIN(R11:R70)</f>
        <v/>
      </c>
      <c r="S79" s="423">
        <f>MIN(S11:S70)</f>
        <v/>
      </c>
      <c r="T79" s="423">
        <f>MIN(T11:T70)</f>
        <v/>
      </c>
      <c r="U79" s="422">
        <f>MIN(U11:U70)</f>
        <v/>
      </c>
      <c r="V79" s="422">
        <f>MIN(V11:V70)</f>
        <v/>
      </c>
      <c r="W79" s="422">
        <f>MIN(W11:W70)</f>
        <v/>
      </c>
      <c r="X79" s="423" t="n"/>
      <c r="Y79" s="423" t="n"/>
      <c r="Z79" s="423" t="n"/>
      <c r="AA79" s="423" t="n"/>
      <c r="AB79" s="423" t="n"/>
      <c r="AC79" s="423">
        <f>MIN(AC11:AC70)</f>
        <v/>
      </c>
      <c r="AD79" s="422">
        <f>MIN(AD11:AD70)</f>
        <v/>
      </c>
      <c r="AE79" s="422">
        <f>MIN(AE11:AE70)</f>
        <v/>
      </c>
    </row>
    <row r="80">
      <c r="AD80" s="314" t="n"/>
    </row>
    <row r="81" ht="18.75" customHeight="1"/>
    <row r="82" ht="15.75" customHeight="1"/>
    <row r="85" ht="24.75" customHeight="1"/>
    <row r="87" ht="13.5" customHeight="1">
      <c r="O87" s="2" t="n"/>
    </row>
    <row r="88" ht="19.5" customHeight="1">
      <c r="L88" s="300" t="n"/>
      <c r="N88" s="3" t="n"/>
      <c r="O88" s="3" t="n"/>
      <c r="P88" s="300" t="inlineStr">
        <is>
          <t>1 microsiemens/centímetro = 0.001 milisiemens/centímetro</t>
        </is>
      </c>
      <c r="Q88" s="300" t="n"/>
      <c r="R88" s="300" t="n"/>
    </row>
    <row r="90" ht="18" customHeight="1">
      <c r="O90" s="4" t="n"/>
    </row>
    <row r="91" ht="18" customHeight="1">
      <c r="L91" s="315" t="n"/>
      <c r="O91" s="1" t="n"/>
      <c r="P91" s="315" t="inlineStr">
        <is>
          <t>1 mho/centímetro = 1 siemens/centímetro</t>
        </is>
      </c>
      <c r="Q91" s="315" t="n"/>
      <c r="R91" s="315" t="n"/>
    </row>
    <row r="92">
      <c r="L92" s="5" t="inlineStr">
        <is>
          <t>1us</t>
        </is>
      </c>
      <c r="O92" s="316" t="n"/>
      <c r="P92" s="7" t="inlineStr">
        <is>
          <t>1 umho</t>
        </is>
      </c>
    </row>
    <row r="94">
      <c r="P94" s="316" t="n"/>
      <c r="S94" s="314" t="n"/>
      <c r="T94" s="314" t="n"/>
      <c r="U94" s="314" t="n"/>
      <c r="V94" s="314" t="n"/>
      <c r="W94" s="314" t="n"/>
      <c r="X94" s="314" t="n"/>
      <c r="Y94" s="314" t="n"/>
      <c r="Z94" s="314" t="n"/>
      <c r="AA94" s="314" t="n"/>
      <c r="AB94" s="314" t="n"/>
      <c r="AC94" s="314" t="n"/>
    </row>
  </sheetData>
  <mergeCells count="23">
    <mergeCell ref="Y6:Y10"/>
    <mergeCell ref="D76:F76"/>
    <mergeCell ref="E6:F7"/>
    <mergeCell ref="C6:D10"/>
    <mergeCell ref="B8:B9"/>
    <mergeCell ref="AC8:AE8"/>
    <mergeCell ref="D75:F75"/>
    <mergeCell ref="E8:F8"/>
    <mergeCell ref="O75:O76"/>
    <mergeCell ref="E10:F10"/>
    <mergeCell ref="AC9:AE9"/>
    <mergeCell ref="Z6:Z10"/>
    <mergeCell ref="E9:F9"/>
    <mergeCell ref="AB6:AB10"/>
    <mergeCell ref="M75:M76"/>
    <mergeCell ref="B71:Q71"/>
    <mergeCell ref="AA6:AA10"/>
    <mergeCell ref="B4:AE4"/>
    <mergeCell ref="P94:R94"/>
    <mergeCell ref="B72:M72"/>
    <mergeCell ref="Q75:Q76"/>
    <mergeCell ref="X6:X10"/>
    <mergeCell ref="D77:F77"/>
  </mergeCells>
  <pageMargins left="0.7" right="0.7" top="0.75" bottom="0.75" header="0.3" footer="0.3"/>
  <pageSetup orientation="portrait" paperSize="9" scale="19"/>
</worksheet>
</file>

<file path=xl/worksheets/sheet5.xml><?xml version="1.0" encoding="utf-8"?>
<worksheet xmlns="http://schemas.openxmlformats.org/spreadsheetml/2006/main">
  <sheetPr>
    <tabColor theme="8"/>
    <outlinePr summaryBelow="1" summaryRight="1"/>
    <pageSetUpPr/>
  </sheetPr>
  <dimension ref="A2:AE94"/>
  <sheetViews>
    <sheetView workbookViewId="0">
      <selection activeCell="A1" sqref="A1"/>
    </sheetView>
  </sheetViews>
  <sheetFormatPr baseColWidth="10" defaultColWidth="11.42578125" defaultRowHeight="15"/>
  <cols>
    <col width="11.42578125" customWidth="1" style="360" min="1" max="1"/>
    <col width="24.28515625" bestFit="1" customWidth="1" style="360" min="2" max="2"/>
    <col width="11" customWidth="1" style="360" min="3" max="3"/>
    <col width="11.28515625" customWidth="1" style="360" min="4" max="4"/>
    <col width="10.7109375" customWidth="1" style="360" min="5" max="5"/>
    <col width="16.7109375" customWidth="1" style="360" min="6" max="6"/>
    <col width="15.5703125" customWidth="1" style="360" min="7" max="7"/>
    <col width="11.42578125" customWidth="1" style="360" min="8" max="8"/>
    <col width="15.28515625" customWidth="1" style="360" min="9" max="9"/>
    <col width="16.7109375" customWidth="1" style="360" min="10" max="10"/>
    <col width="11.42578125" customWidth="1" style="360" min="11" max="11"/>
    <col width="12.140625" customWidth="1" style="360" min="12" max="12"/>
    <col width="11.42578125" customWidth="1" style="360" min="13" max="14"/>
    <col width="16.42578125" customWidth="1" style="360" min="15" max="15"/>
    <col width="12.28515625" customWidth="1" style="360" min="16" max="16"/>
    <col width="14.85546875" customWidth="1" style="360" min="17" max="17"/>
    <col width="12.7109375" customWidth="1" style="360" min="18" max="18"/>
    <col width="13.7109375" customWidth="1" style="360" min="19" max="27"/>
    <col width="23.28515625" customWidth="1" style="360" min="28" max="28"/>
    <col width="13.7109375" customWidth="1" style="360" min="29" max="29"/>
    <col width="20.28515625" customWidth="1" style="360" min="30" max="30"/>
    <col width="18.7109375" customWidth="1" style="360" min="31" max="31"/>
    <col width="11.42578125" customWidth="1" style="360" min="32" max="16384"/>
  </cols>
  <sheetData>
    <row r="2" ht="11.25" customHeight="1">
      <c r="U2" s="360" t="n">
        <v>24.305</v>
      </c>
      <c r="V2" s="360" t="n">
        <v>22.989</v>
      </c>
      <c r="W2" s="360" t="n">
        <v>40.078</v>
      </c>
    </row>
    <row r="3" ht="12" customHeight="1" thickBot="1">
      <c r="U3" s="360" t="n">
        <v>2</v>
      </c>
      <c r="V3" s="360" t="n">
        <v>1</v>
      </c>
      <c r="W3" s="360" t="n">
        <v>2</v>
      </c>
    </row>
    <row r="4" ht="39" customFormat="1" customHeight="1" s="300" thickBot="1">
      <c r="B4" s="378" t="inlineStr">
        <is>
          <t>RESULTADOS ANÁLISIS FISICOS DE LA CALIDAD DE AGUA SUBTERRANEA VALLE DE VIRÚ
MARZO 2026 - 1° MONITOREO</t>
        </is>
      </c>
      <c r="C4" s="379" t="n"/>
      <c r="D4" s="379" t="n"/>
      <c r="E4" s="379" t="n"/>
      <c r="F4" s="379" t="n"/>
      <c r="G4" s="379" t="n"/>
      <c r="H4" s="379" t="n"/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79" t="n"/>
      <c r="S4" s="379" t="n"/>
      <c r="T4" s="379" t="n"/>
      <c r="U4" s="379" t="n"/>
      <c r="V4" s="379" t="n"/>
      <c r="W4" s="379" t="n"/>
      <c r="X4" s="379" t="n"/>
      <c r="Y4" s="379" t="n"/>
      <c r="Z4" s="379" t="n"/>
      <c r="AA4" s="379" t="n"/>
      <c r="AB4" s="379" t="n"/>
      <c r="AC4" s="379" t="n"/>
      <c r="AD4" s="379" t="n"/>
      <c r="AE4" s="380" t="n"/>
    </row>
    <row r="5" ht="2.25" customHeight="1" thickBot="1"/>
    <row r="6" ht="45.75" customHeight="1" thickBot="1">
      <c r="B6" s="334" t="inlineStr">
        <is>
          <t>PARAMETRO</t>
        </is>
      </c>
      <c r="C6" s="230" t="inlineStr">
        <is>
          <t>Coordenada Datum: WGS-84</t>
        </is>
      </c>
      <c r="D6" s="381" t="n"/>
      <c r="E6" s="230" t="inlineStr">
        <is>
          <t>Nº de Pozo de observación</t>
        </is>
      </c>
      <c r="F6" s="381" t="n"/>
      <c r="G6" s="332" t="inlineStr">
        <is>
          <t>Conductividad Eléctrica</t>
        </is>
      </c>
      <c r="H6" s="332" t="inlineStr">
        <is>
          <t>Ph</t>
        </is>
      </c>
      <c r="I6" s="226" t="inlineStr">
        <is>
          <t>Sólidos Totales  Disueltos</t>
        </is>
      </c>
      <c r="J6" s="227" t="inlineStr">
        <is>
          <t>Temperatura</t>
        </is>
      </c>
      <c r="K6" s="326" t="inlineStr">
        <is>
          <t xml:space="preserve">Turbidez </t>
        </is>
      </c>
      <c r="L6" s="263" t="inlineStr">
        <is>
          <t xml:space="preserve">Nitratos  (NO3-) </t>
        </is>
      </c>
      <c r="M6" s="227" t="inlineStr">
        <is>
          <t>Nitritos  (NO2-)</t>
        </is>
      </c>
      <c r="N6" s="334" t="inlineStr">
        <is>
          <t>Cobre (Cu)</t>
        </is>
      </c>
      <c r="O6" s="332" t="inlineStr">
        <is>
          <t>Cromo Hexavalente (Cr6+)</t>
        </is>
      </c>
      <c r="P6" s="334" t="inlineStr">
        <is>
          <t>Sulfatos  (SO₄²-)</t>
        </is>
      </c>
      <c r="Q6" s="334" t="inlineStr">
        <is>
          <t>Manganeso (Mn)</t>
        </is>
      </c>
      <c r="R6" s="334" t="inlineStr">
        <is>
          <t>Zinc (Zn)</t>
        </is>
      </c>
      <c r="S6" s="334" t="inlineStr">
        <is>
          <t>Hierro (Fe)</t>
        </is>
      </c>
      <c r="T6" s="227" t="inlineStr">
        <is>
          <t>Amonio 
(NH4) (*)</t>
        </is>
      </c>
      <c r="U6" s="227" t="inlineStr">
        <is>
          <t>Magnesio
(Mg) (*)</t>
        </is>
      </c>
      <c r="V6" s="227" t="inlineStr">
        <is>
          <t>Sodio
(Na) (*)</t>
        </is>
      </c>
      <c r="W6" s="227" t="inlineStr">
        <is>
          <t>Calcio
(Ca)</t>
        </is>
      </c>
      <c r="X6" s="332" t="inlineStr">
        <is>
          <t>Magnesio
(Mg) (*)
(me/L)</t>
        </is>
      </c>
      <c r="Y6" s="332" t="inlineStr">
        <is>
          <t>Sodio
(Na) (*)
(me/L)</t>
        </is>
      </c>
      <c r="Z6" s="332" t="inlineStr">
        <is>
          <t>Calcio
(Ca) (*)
(me/L)</t>
        </is>
      </c>
      <c r="AA6" s="332" t="inlineStr">
        <is>
          <t>CÁLCULO 
RAS
(Relación de Absorción de Sodio)</t>
        </is>
      </c>
      <c r="AB6" s="332" t="inlineStr">
        <is>
          <t>GRADO DE RESTRICCIÓN</t>
        </is>
      </c>
      <c r="AC6" s="227" t="inlineStr">
        <is>
          <t>Coliformes
Totales</t>
        </is>
      </c>
      <c r="AD6" s="227" t="inlineStr">
        <is>
          <t>Coliformes
Termotolerantes</t>
        </is>
      </c>
      <c r="AE6" s="227" t="inlineStr">
        <is>
          <t>Escherichia coli</t>
        </is>
      </c>
    </row>
    <row r="7" ht="15.75" customHeight="1" thickBot="1">
      <c r="B7" s="334" t="inlineStr">
        <is>
          <t>UM</t>
        </is>
      </c>
      <c r="C7" s="382" t="n"/>
      <c r="D7" s="383" t="n"/>
      <c r="E7" s="384" t="n"/>
      <c r="F7" s="385" t="n"/>
      <c r="G7" s="332" t="inlineStr">
        <is>
          <t>µmho/cm</t>
        </is>
      </c>
      <c r="H7" s="332" t="inlineStr">
        <is>
          <t>ph</t>
        </is>
      </c>
      <c r="I7" s="332" t="inlineStr">
        <is>
          <t>mgL-1</t>
        </is>
      </c>
      <c r="J7" s="333" t="inlineStr">
        <is>
          <t>°C</t>
        </is>
      </c>
      <c r="K7" s="332" t="inlineStr">
        <is>
          <t>NTU</t>
        </is>
      </c>
      <c r="L7" s="228" t="inlineStr">
        <is>
          <t>mg/L</t>
        </is>
      </c>
      <c r="M7" s="228" t="inlineStr">
        <is>
          <t>mg/L</t>
        </is>
      </c>
      <c r="N7" s="227" t="inlineStr">
        <is>
          <t>mg/L</t>
        </is>
      </c>
      <c r="O7" s="227" t="inlineStr">
        <is>
          <t>mg/L</t>
        </is>
      </c>
      <c r="P7" s="227" t="inlineStr">
        <is>
          <t>mg/L</t>
        </is>
      </c>
      <c r="Q7" s="227" t="inlineStr">
        <is>
          <t>mg/L</t>
        </is>
      </c>
      <c r="R7" s="227" t="inlineStr">
        <is>
          <t>mg/L</t>
        </is>
      </c>
      <c r="S7" s="332" t="inlineStr">
        <is>
          <t>mg/L</t>
        </is>
      </c>
      <c r="T7" s="332" t="inlineStr">
        <is>
          <t>mg/L</t>
        </is>
      </c>
      <c r="U7" s="332" t="inlineStr">
        <is>
          <t>mg/L</t>
        </is>
      </c>
      <c r="V7" s="332" t="inlineStr">
        <is>
          <t>mg/L</t>
        </is>
      </c>
      <c r="W7" s="332" t="inlineStr">
        <is>
          <t>mg/L</t>
        </is>
      </c>
      <c r="X7" s="386" t="n"/>
      <c r="Y7" s="386" t="n"/>
      <c r="Z7" s="386" t="n"/>
      <c r="AA7" s="386" t="n"/>
      <c r="AB7" s="386" t="n"/>
      <c r="AC7" s="332" t="inlineStr">
        <is>
          <t>UFC/100 ml</t>
        </is>
      </c>
      <c r="AD7" s="332" t="inlineStr">
        <is>
          <t>UFC/100 ml</t>
        </is>
      </c>
      <c r="AE7" s="332" t="inlineStr">
        <is>
          <t>UFC/100 ml</t>
        </is>
      </c>
    </row>
    <row r="8" ht="15.75" customHeight="1" thickBot="1">
      <c r="B8" s="230" t="inlineStr">
        <is>
          <t>DS N° 004-2017 MINAM</t>
        </is>
      </c>
      <c r="C8" s="382" t="n"/>
      <c r="D8" s="383" t="n"/>
      <c r="E8" s="260" t="inlineStr">
        <is>
          <t>Riego deVegetales</t>
        </is>
      </c>
      <c r="F8" s="380" t="n"/>
      <c r="G8" s="260" t="n">
        <v>2500</v>
      </c>
      <c r="H8" s="259" t="inlineStr">
        <is>
          <t>6,5 – 8,5</t>
        </is>
      </c>
      <c r="I8" s="260" t="inlineStr">
        <is>
          <t>-</t>
        </is>
      </c>
      <c r="J8" s="260" t="inlineStr">
        <is>
          <t>-</t>
        </is>
      </c>
      <c r="K8" s="260" t="inlineStr">
        <is>
          <t>-</t>
        </is>
      </c>
      <c r="L8" s="227" t="n">
        <v>100</v>
      </c>
      <c r="M8" s="260" t="n">
        <v>10</v>
      </c>
      <c r="N8" s="227" t="n">
        <v>0.2</v>
      </c>
      <c r="O8" s="227" t="inlineStr">
        <is>
          <t>0.1 (C.T)</t>
        </is>
      </c>
      <c r="P8" s="227" t="n">
        <v>1000</v>
      </c>
      <c r="Q8" s="227" t="n">
        <v>0.2</v>
      </c>
      <c r="R8" s="227" t="n">
        <v>2</v>
      </c>
      <c r="S8" s="260" t="n">
        <v>5</v>
      </c>
      <c r="T8" s="260" t="inlineStr">
        <is>
          <t>-</t>
        </is>
      </c>
      <c r="U8" s="260" t="inlineStr">
        <is>
          <t>-</t>
        </is>
      </c>
      <c r="V8" s="260" t="inlineStr">
        <is>
          <t>-</t>
        </is>
      </c>
      <c r="W8" s="260" t="inlineStr">
        <is>
          <t>-</t>
        </is>
      </c>
      <c r="X8" s="386" t="n"/>
      <c r="Y8" s="386" t="n"/>
      <c r="Z8" s="386" t="n"/>
      <c r="AA8" s="386" t="n"/>
      <c r="AB8" s="386" t="n"/>
      <c r="AC8" s="339" t="inlineStr">
        <is>
          <t>*</t>
        </is>
      </c>
      <c r="AD8" s="379" t="n"/>
      <c r="AE8" s="380" t="n"/>
    </row>
    <row r="9" ht="15.75" customHeight="1" thickBot="1">
      <c r="B9" s="387" t="n"/>
      <c r="C9" s="382" t="n"/>
      <c r="D9" s="383" t="n"/>
      <c r="E9" s="260" t="inlineStr">
        <is>
          <t>Consumo de Animales</t>
        </is>
      </c>
      <c r="F9" s="380" t="n"/>
      <c r="G9" s="261" t="n">
        <v>5000</v>
      </c>
      <c r="H9" s="332" t="inlineStr">
        <is>
          <t>6,5 – 8,4</t>
        </is>
      </c>
      <c r="I9" s="262" t="inlineStr">
        <is>
          <t>-</t>
        </is>
      </c>
      <c r="J9" s="262" t="inlineStr">
        <is>
          <t>-</t>
        </is>
      </c>
      <c r="K9" s="260" t="inlineStr">
        <is>
          <t>-</t>
        </is>
      </c>
      <c r="L9" s="227" t="n">
        <v>100</v>
      </c>
      <c r="M9" s="260" t="n">
        <v>10</v>
      </c>
      <c r="N9" s="227" t="n">
        <v>0.5</v>
      </c>
      <c r="O9" s="227" t="inlineStr">
        <is>
          <t>1  (C.T)</t>
        </is>
      </c>
      <c r="P9" s="227" t="n">
        <v>1000</v>
      </c>
      <c r="Q9" s="227" t="n">
        <v>0.2</v>
      </c>
      <c r="R9" s="227" t="n">
        <v>24</v>
      </c>
      <c r="S9" s="260" t="inlineStr">
        <is>
          <t>-</t>
        </is>
      </c>
      <c r="T9" s="260" t="inlineStr">
        <is>
          <t>-</t>
        </is>
      </c>
      <c r="U9" s="227" t="n">
        <v>250</v>
      </c>
      <c r="V9" s="260" t="inlineStr">
        <is>
          <t>-</t>
        </is>
      </c>
      <c r="W9" s="260" t="inlineStr">
        <is>
          <t>-</t>
        </is>
      </c>
      <c r="X9" s="386" t="n"/>
      <c r="Y9" s="386" t="n"/>
      <c r="Z9" s="386" t="n"/>
      <c r="AA9" s="386" t="n"/>
      <c r="AB9" s="386" t="n"/>
      <c r="AC9" s="339" t="inlineStr">
        <is>
          <t>*</t>
        </is>
      </c>
      <c r="AD9" s="379" t="n"/>
      <c r="AE9" s="380" t="n"/>
    </row>
    <row r="10" ht="15.75" customHeight="1" thickBot="1">
      <c r="B10" s="230" t="inlineStr">
        <is>
          <t>DS N° 031-2010-SA.</t>
        </is>
      </c>
      <c r="C10" s="384" t="n"/>
      <c r="D10" s="385" t="n"/>
      <c r="E10" s="260" t="inlineStr">
        <is>
          <t>Consumo Humano</t>
        </is>
      </c>
      <c r="F10" s="380" t="n"/>
      <c r="G10" s="332" t="inlineStr">
        <is>
          <t>1 500</t>
        </is>
      </c>
      <c r="H10" s="332" t="inlineStr">
        <is>
          <t>6.5-8.5</t>
        </is>
      </c>
      <c r="I10" s="332" t="inlineStr">
        <is>
          <t>1 000</t>
        </is>
      </c>
      <c r="J10" s="231" t="inlineStr">
        <is>
          <t>-</t>
        </is>
      </c>
      <c r="K10" s="334" t="n">
        <v>5</v>
      </c>
      <c r="L10" s="334" t="n">
        <v>50</v>
      </c>
      <c r="M10" s="334" t="n">
        <v>3</v>
      </c>
      <c r="N10" s="332" t="n">
        <v>2</v>
      </c>
      <c r="O10" s="332" t="n">
        <v>0.05</v>
      </c>
      <c r="P10" s="334" t="n">
        <v>250</v>
      </c>
      <c r="Q10" s="334" t="n">
        <v>0.4</v>
      </c>
      <c r="R10" s="334" t="n">
        <v>3</v>
      </c>
      <c r="S10" s="332" t="n">
        <v>0.3</v>
      </c>
      <c r="T10" s="332" t="inlineStr">
        <is>
          <t>-</t>
        </is>
      </c>
      <c r="U10" s="332" t="inlineStr">
        <is>
          <t>-</t>
        </is>
      </c>
      <c r="V10" s="332" t="n">
        <v>200</v>
      </c>
      <c r="W10" s="332" t="inlineStr">
        <is>
          <t>-</t>
        </is>
      </c>
      <c r="X10" s="386" t="n"/>
      <c r="Y10" s="386" t="n"/>
      <c r="Z10" s="386" t="n"/>
      <c r="AA10" s="386" t="n"/>
      <c r="AB10" s="386" t="n"/>
      <c r="AC10" s="332" t="n">
        <v>0</v>
      </c>
      <c r="AD10" s="332" t="n">
        <v>0</v>
      </c>
      <c r="AE10" s="332" t="n">
        <v>0</v>
      </c>
    </row>
    <row r="11" ht="15.75" customFormat="1" customHeight="1" s="301" thickBot="1">
      <c r="B11" s="291" t="inlineStr">
        <is>
          <t>M1</t>
        </is>
      </c>
      <c r="C11" s="291" t="n"/>
      <c r="D11" s="291" t="n"/>
      <c r="E11" s="291" t="n"/>
      <c r="F11" s="292" t="n"/>
      <c r="G11" s="388" t="n"/>
      <c r="H11" s="389" t="n"/>
      <c r="I11" s="390" t="n"/>
      <c r="J11" s="391" t="n"/>
      <c r="K11" s="271" t="n"/>
      <c r="L11" s="272" t="n"/>
      <c r="M11" s="271" t="n"/>
      <c r="N11" s="392" t="n"/>
      <c r="O11" s="392" t="n"/>
      <c r="P11" s="275" t="n"/>
      <c r="Q11" s="283" t="n"/>
      <c r="R11" s="392" t="n"/>
      <c r="S11" s="276" t="n"/>
      <c r="T11" s="277" t="n"/>
      <c r="U11" s="272" t="n"/>
      <c r="V11" s="278" t="n"/>
      <c r="W11" s="279" t="n"/>
      <c r="X11" s="391">
        <f>(U11/($U$2/$U$3))</f>
        <v/>
      </c>
      <c r="Y11" s="391">
        <f>(V11/($V$2/$V$3))</f>
        <v/>
      </c>
      <c r="Z11" s="391">
        <f>(W11/($W$2/$W$3))</f>
        <v/>
      </c>
      <c r="AA11" s="391">
        <f>(Y11)/SQRT(((Z11+X11)/2))</f>
        <v/>
      </c>
      <c r="AB11" s="391">
        <f>IF(AA11&lt;3,"NINGUNO",IF(AA11&lt;=9,"LEVE O MODERADO","SEVERO"))</f>
        <v/>
      </c>
      <c r="AC11" s="280">
        <f>5*5</f>
        <v/>
      </c>
      <c r="AD11" s="280" t="n">
        <v>1</v>
      </c>
      <c r="AE11" s="280" t="n">
        <v>1</v>
      </c>
    </row>
    <row r="12" ht="15.75" customFormat="1" customHeight="1" s="302" thickBot="1">
      <c r="B12" s="237" t="inlineStr">
        <is>
          <t>M2</t>
        </is>
      </c>
      <c r="C12" s="237" t="n"/>
      <c r="D12" s="237" t="n"/>
      <c r="E12" s="237" t="n"/>
      <c r="F12" s="220" t="n"/>
      <c r="G12" s="393" t="n"/>
      <c r="H12" s="394" t="n"/>
      <c r="I12" s="395" t="n"/>
      <c r="J12" s="396" t="n"/>
      <c r="K12" s="247" t="n"/>
      <c r="L12" s="246" t="n"/>
      <c r="M12" s="247" t="n"/>
      <c r="N12" s="394" t="n"/>
      <c r="O12" s="394" t="n"/>
      <c r="P12" s="234" t="n"/>
      <c r="Q12" s="397" t="n"/>
      <c r="R12" s="394" t="n"/>
      <c r="S12" s="254" t="n"/>
      <c r="T12" s="248" t="n"/>
      <c r="U12" s="246" t="n"/>
      <c r="V12" s="255" t="n"/>
      <c r="W12" s="238" t="n"/>
      <c r="X12" s="396">
        <f>(U12/($U$2/$U$3))</f>
        <v/>
      </c>
      <c r="Y12" s="396">
        <f>(V12/($V$2/$V$3))</f>
        <v/>
      </c>
      <c r="Z12" s="396">
        <f>(W12/($W$2/$W$3))</f>
        <v/>
      </c>
      <c r="AA12" s="396">
        <f>(Y12)/SQRT(((Z12+X12)/2))</f>
        <v/>
      </c>
      <c r="AB12" s="396">
        <f>IF(AA12&lt;3,"NINGUNO",IF(AA12&lt;=9,"LEVE O MODERADO","SEVERO"))</f>
        <v/>
      </c>
      <c r="AC12" s="238" t="inlineStr">
        <is>
          <t>-</t>
        </is>
      </c>
      <c r="AD12" s="238" t="inlineStr">
        <is>
          <t>-</t>
        </is>
      </c>
      <c r="AE12" s="238" t="inlineStr">
        <is>
          <t>-</t>
        </is>
      </c>
    </row>
    <row r="13" ht="15.75" customFormat="1" customHeight="1" s="302" thickBot="1">
      <c r="B13" s="237" t="inlineStr">
        <is>
          <t>M3</t>
        </is>
      </c>
      <c r="C13" s="237" t="n"/>
      <c r="D13" s="237" t="n"/>
      <c r="E13" s="237" t="n"/>
      <c r="F13" s="220" t="n"/>
      <c r="G13" s="393" t="n"/>
      <c r="H13" s="397" t="n"/>
      <c r="I13" s="395" t="n"/>
      <c r="J13" s="398" t="n"/>
      <c r="K13" s="247" t="n"/>
      <c r="L13" s="246" t="n"/>
      <c r="M13" s="247" t="n"/>
      <c r="N13" s="394" t="n"/>
      <c r="O13" s="250" t="n"/>
      <c r="P13" s="234" t="n"/>
      <c r="Q13" s="258" t="n"/>
      <c r="R13" s="394" t="n"/>
      <c r="S13" s="254" t="n"/>
      <c r="T13" s="248" t="n"/>
      <c r="U13" s="246" t="n"/>
      <c r="V13" s="255" t="n"/>
      <c r="W13" s="238" t="n"/>
      <c r="X13" s="396">
        <f>(U13/($U$2/$U$3))</f>
        <v/>
      </c>
      <c r="Y13" s="396">
        <f>(V13/($V$2/$V$3))</f>
        <v/>
      </c>
      <c r="Z13" s="396">
        <f>(W13/($W$2/$W$3))</f>
        <v/>
      </c>
      <c r="AA13" s="396">
        <f>(Y13)/SQRT(((Z13+X13)/2))</f>
        <v/>
      </c>
      <c r="AB13" s="396">
        <f>IF(AA13&lt;3,"NINGUNO",IF(AA13&lt;=9,"LEVE O MODERADO","SEVERO"))</f>
        <v/>
      </c>
      <c r="AC13" s="238" t="inlineStr">
        <is>
          <t>-</t>
        </is>
      </c>
      <c r="AD13" s="238" t="inlineStr">
        <is>
          <t>-</t>
        </is>
      </c>
      <c r="AE13" s="238" t="inlineStr">
        <is>
          <t>-</t>
        </is>
      </c>
    </row>
    <row r="14" ht="15.75" customFormat="1" customHeight="1" s="302" thickBot="1">
      <c r="B14" s="237" t="inlineStr">
        <is>
          <t>M4</t>
        </is>
      </c>
      <c r="C14" s="237" t="n"/>
      <c r="D14" s="237" t="n"/>
      <c r="E14" s="237" t="n"/>
      <c r="F14" s="220" t="n"/>
      <c r="G14" s="399" t="n"/>
      <c r="H14" s="394" t="n"/>
      <c r="I14" s="395" t="n"/>
      <c r="J14" s="396" t="n"/>
      <c r="K14" s="247" t="n"/>
      <c r="L14" s="246" t="n"/>
      <c r="M14" s="247" t="n"/>
      <c r="N14" s="394" t="n"/>
      <c r="O14" s="394" t="n"/>
      <c r="P14" s="234" t="n"/>
      <c r="Q14" s="258" t="n"/>
      <c r="R14" s="394" t="n"/>
      <c r="S14" s="254" t="n"/>
      <c r="T14" s="248" t="n"/>
      <c r="U14" s="246" t="n"/>
      <c r="V14" s="255" t="n"/>
      <c r="W14" s="238" t="n"/>
      <c r="X14" s="396">
        <f>(U14/($U$2/$U$3))</f>
        <v/>
      </c>
      <c r="Y14" s="396">
        <f>(V14/($V$2/$V$3))</f>
        <v/>
      </c>
      <c r="Z14" s="396">
        <f>(W14/($W$2/$W$3))</f>
        <v/>
      </c>
      <c r="AA14" s="396">
        <f>(Y14)/SQRT(((Z14+X14)/2))</f>
        <v/>
      </c>
      <c r="AB14" s="396">
        <f>IF(AA14&lt;3,"NINGUNO",IF(AA14&lt;=9,"LEVE O MODERADO","SEVERO"))</f>
        <v/>
      </c>
      <c r="AC14" s="238" t="inlineStr">
        <is>
          <t>-</t>
        </is>
      </c>
      <c r="AD14" s="238" t="inlineStr">
        <is>
          <t>-</t>
        </is>
      </c>
      <c r="AE14" s="238" t="inlineStr">
        <is>
          <t>-</t>
        </is>
      </c>
    </row>
    <row r="15" ht="15.75" customFormat="1" customHeight="1" s="302" thickBot="1">
      <c r="B15" s="237" t="inlineStr">
        <is>
          <t>M5</t>
        </is>
      </c>
      <c r="C15" s="237" t="n"/>
      <c r="D15" s="237" t="n"/>
      <c r="E15" s="237" t="n"/>
      <c r="F15" s="220" t="n"/>
      <c r="G15" s="399" t="n"/>
      <c r="H15" s="394" t="n"/>
      <c r="I15" s="395" t="n"/>
      <c r="J15" s="396" t="n"/>
      <c r="K15" s="247" t="n"/>
      <c r="L15" s="246" t="n"/>
      <c r="M15" s="247" t="n"/>
      <c r="N15" s="394" t="n"/>
      <c r="O15" s="250" t="n"/>
      <c r="P15" s="234" t="n"/>
      <c r="Q15" s="397" t="n"/>
      <c r="R15" s="394" t="n"/>
      <c r="S15" s="254" t="n"/>
      <c r="T15" s="248" t="n"/>
      <c r="U15" s="246" t="n"/>
      <c r="V15" s="255" t="n"/>
      <c r="W15" s="238" t="n"/>
      <c r="X15" s="396">
        <f>(U15/($U$2/$U$3))</f>
        <v/>
      </c>
      <c r="Y15" s="396">
        <f>(V15/($V$2/$V$3))</f>
        <v/>
      </c>
      <c r="Z15" s="396">
        <f>(W15/($W$2/$W$3))</f>
        <v/>
      </c>
      <c r="AA15" s="396">
        <f>(Y15)/SQRT(((Z15+X15)/2))</f>
        <v/>
      </c>
      <c r="AB15" s="396">
        <f>IF(AA15&lt;3,"NINGUNO",IF(AA15&lt;=9,"LEVE O MODERADO","SEVERO"))</f>
        <v/>
      </c>
      <c r="AC15" s="238" t="inlineStr">
        <is>
          <t>-</t>
        </is>
      </c>
      <c r="AD15" s="238" t="inlineStr">
        <is>
          <t>-</t>
        </is>
      </c>
      <c r="AE15" s="238" t="inlineStr">
        <is>
          <t>-</t>
        </is>
      </c>
    </row>
    <row r="16" ht="15.75" customFormat="1" customHeight="1" s="301" thickBot="1">
      <c r="B16" s="265" t="inlineStr">
        <is>
          <t>M6</t>
        </is>
      </c>
      <c r="C16" s="265" t="n"/>
      <c r="D16" s="265" t="n"/>
      <c r="E16" s="265" t="n"/>
      <c r="F16" s="266" t="n"/>
      <c r="G16" s="400" t="n"/>
      <c r="H16" s="392" t="n"/>
      <c r="I16" s="401" t="n"/>
      <c r="J16" s="391" t="n"/>
      <c r="K16" s="271" t="n"/>
      <c r="L16" s="272" t="n"/>
      <c r="M16" s="271" t="n"/>
      <c r="N16" s="392" t="n"/>
      <c r="O16" s="274" t="n"/>
      <c r="P16" s="275" t="n"/>
      <c r="Q16" s="283" t="n"/>
      <c r="R16" s="392" t="n"/>
      <c r="S16" s="276" t="n"/>
      <c r="T16" s="277" t="n"/>
      <c r="U16" s="272" t="n"/>
      <c r="V16" s="278" t="n"/>
      <c r="W16" s="279" t="n"/>
      <c r="X16" s="391">
        <f>(U16/($U$2/$U$3))</f>
        <v/>
      </c>
      <c r="Y16" s="391">
        <f>(V16/($V$2/$V$3))</f>
        <v/>
      </c>
      <c r="Z16" s="391">
        <f>(W16/($W$2/$W$3))</f>
        <v/>
      </c>
      <c r="AA16" s="391">
        <f>(Y16)/SQRT(((Z16+X16)/2))</f>
        <v/>
      </c>
      <c r="AB16" s="391">
        <f>IF(AA16&lt;3,"NINGUNO",IF(AA16&lt;=9,"LEVE O MODERADO","SEVERO"))</f>
        <v/>
      </c>
      <c r="AC16" s="280" t="n">
        <v>60</v>
      </c>
      <c r="AD16" s="281" t="n">
        <v>0</v>
      </c>
      <c r="AE16" s="281" t="n">
        <v>0</v>
      </c>
    </row>
    <row r="17" ht="15.75" customFormat="1" customHeight="1" s="302" thickBot="1">
      <c r="B17" s="237" t="inlineStr">
        <is>
          <t>M7</t>
        </is>
      </c>
      <c r="C17" s="237" t="n"/>
      <c r="D17" s="237" t="n"/>
      <c r="E17" s="237" t="n"/>
      <c r="F17" s="220" t="n"/>
      <c r="G17" s="399" t="n"/>
      <c r="H17" s="394" t="n"/>
      <c r="I17" s="395" t="n"/>
      <c r="J17" s="396" t="n"/>
      <c r="K17" s="247" t="n"/>
      <c r="L17" s="246" t="n"/>
      <c r="M17" s="247" t="n"/>
      <c r="N17" s="394" t="n"/>
      <c r="O17" s="250" t="n"/>
      <c r="P17" s="234" t="n"/>
      <c r="Q17" s="258" t="n"/>
      <c r="R17" s="394" t="n"/>
      <c r="S17" s="254" t="n"/>
      <c r="T17" s="248" t="n"/>
      <c r="U17" s="246" t="n"/>
      <c r="V17" s="255" t="n"/>
      <c r="W17" s="238" t="n"/>
      <c r="X17" s="396">
        <f>(U17/($U$2/$U$3))</f>
        <v/>
      </c>
      <c r="Y17" s="396">
        <f>(V17/($V$2/$V$3))</f>
        <v/>
      </c>
      <c r="Z17" s="396">
        <f>(W17/($W$2/$W$3))</f>
        <v/>
      </c>
      <c r="AA17" s="396">
        <f>(Y17)/SQRT(((Z17+X17)/2))</f>
        <v/>
      </c>
      <c r="AB17" s="396">
        <f>IF(AA17&lt;3,"NINGUNO",IF(AA17&lt;=9,"LEVE O MODERADO","SEVERO"))</f>
        <v/>
      </c>
      <c r="AC17" s="238" t="inlineStr">
        <is>
          <t>-</t>
        </is>
      </c>
      <c r="AD17" s="238" t="inlineStr">
        <is>
          <t>-</t>
        </is>
      </c>
      <c r="AE17" s="238" t="inlineStr">
        <is>
          <t>-</t>
        </is>
      </c>
    </row>
    <row r="18" ht="15.75" customFormat="1" customHeight="1" s="301" thickBot="1">
      <c r="B18" s="265" t="inlineStr">
        <is>
          <t>M8</t>
        </is>
      </c>
      <c r="C18" s="265" t="n"/>
      <c r="D18" s="265" t="n"/>
      <c r="E18" s="265" t="n"/>
      <c r="F18" s="266" t="n"/>
      <c r="G18" s="400" t="n"/>
      <c r="H18" s="392" t="n"/>
      <c r="I18" s="401" t="n"/>
      <c r="J18" s="391" t="n"/>
      <c r="K18" s="271" t="n"/>
      <c r="L18" s="272" t="n"/>
      <c r="M18" s="271" t="n"/>
      <c r="N18" s="392" t="n"/>
      <c r="O18" s="274" t="n"/>
      <c r="P18" s="275" t="n"/>
      <c r="Q18" s="283" t="n"/>
      <c r="R18" s="392" t="n"/>
      <c r="S18" s="276" t="n"/>
      <c r="T18" s="277" t="n"/>
      <c r="U18" s="272" t="n"/>
      <c r="V18" s="278" t="n"/>
      <c r="W18" s="279" t="n"/>
      <c r="X18" s="391">
        <f>(U18/($U$2/$U$3))</f>
        <v/>
      </c>
      <c r="Y18" s="391">
        <f>(V18/($V$2/$V$3))</f>
        <v/>
      </c>
      <c r="Z18" s="391">
        <f>(W18/($W$2/$W$3))</f>
        <v/>
      </c>
      <c r="AA18" s="391">
        <f>(Y18)/SQRT(((Z18+X18)/2))</f>
        <v/>
      </c>
      <c r="AB18" s="391">
        <f>IF(AA18&lt;3,"NINGUNO",IF(AA18&lt;=9,"LEVE O MODERADO","SEVERO"))</f>
        <v/>
      </c>
      <c r="AC18" s="280" t="n">
        <v>40</v>
      </c>
      <c r="AD18" s="280" t="n">
        <v>2</v>
      </c>
      <c r="AE18" s="280" t="n">
        <v>2</v>
      </c>
    </row>
    <row r="19" ht="15.75" customFormat="1" customHeight="1" s="301" thickBot="1">
      <c r="B19" s="265" t="inlineStr">
        <is>
          <t>M9</t>
        </is>
      </c>
      <c r="C19" s="265" t="n"/>
      <c r="D19" s="265" t="n"/>
      <c r="E19" s="265" t="n"/>
      <c r="F19" s="266" t="n"/>
      <c r="G19" s="400" t="n"/>
      <c r="H19" s="392" t="n"/>
      <c r="I19" s="401" t="n"/>
      <c r="J19" s="391" t="n"/>
      <c r="K19" s="271" t="n"/>
      <c r="L19" s="272" t="n"/>
      <c r="M19" s="271" t="n"/>
      <c r="N19" s="392" t="n"/>
      <c r="O19" s="274" t="n"/>
      <c r="P19" s="275" t="n"/>
      <c r="Q19" s="402" t="n"/>
      <c r="R19" s="392" t="n"/>
      <c r="S19" s="276" t="n"/>
      <c r="T19" s="277" t="n"/>
      <c r="U19" s="272" t="n"/>
      <c r="V19" s="278" t="n"/>
      <c r="W19" s="279" t="n"/>
      <c r="X19" s="391">
        <f>(U19/($U$2/$U$3))</f>
        <v/>
      </c>
      <c r="Y19" s="391">
        <f>(V19/($V$2/$V$3))</f>
        <v/>
      </c>
      <c r="Z19" s="391">
        <f>(W19/($W$2/$W$3))</f>
        <v/>
      </c>
      <c r="AA19" s="391">
        <f>(Y19)/SQRT(((Z19+X19)/2))</f>
        <v/>
      </c>
      <c r="AB19" s="391">
        <f>IF(AA19&lt;3,"NINGUNO",IF(AA19&lt;=9,"LEVE O MODERADO","SEVERO"))</f>
        <v/>
      </c>
      <c r="AC19" s="280" t="n">
        <v>50</v>
      </c>
      <c r="AD19" s="281" t="n">
        <v>0</v>
      </c>
      <c r="AE19" s="281" t="n">
        <v>0</v>
      </c>
    </row>
    <row r="20" ht="15.75" customFormat="1" customHeight="1" s="301" thickBot="1">
      <c r="B20" s="265" t="inlineStr">
        <is>
          <t>M10</t>
        </is>
      </c>
      <c r="C20" s="265" t="n"/>
      <c r="D20" s="265" t="n"/>
      <c r="E20" s="265" t="n"/>
      <c r="F20" s="266" t="n"/>
      <c r="G20" s="400" t="n"/>
      <c r="H20" s="392" t="n"/>
      <c r="I20" s="401" t="n"/>
      <c r="J20" s="391" t="n"/>
      <c r="K20" s="271" t="n"/>
      <c r="L20" s="272" t="n"/>
      <c r="M20" s="271" t="n"/>
      <c r="N20" s="392" t="n"/>
      <c r="O20" s="274" t="n"/>
      <c r="P20" s="275" t="n"/>
      <c r="Q20" s="283" t="n"/>
      <c r="R20" s="392" t="n"/>
      <c r="S20" s="276" t="n"/>
      <c r="T20" s="277" t="n"/>
      <c r="U20" s="272" t="n"/>
      <c r="V20" s="278" t="n"/>
      <c r="W20" s="279" t="n"/>
      <c r="X20" s="391">
        <f>(U20/($U$2/$U$3))</f>
        <v/>
      </c>
      <c r="Y20" s="391">
        <f>(V20/($V$2/$V$3))</f>
        <v/>
      </c>
      <c r="Z20" s="391">
        <f>(W20/($W$2/$W$3))</f>
        <v/>
      </c>
      <c r="AA20" s="391">
        <f>(Y20)/SQRT(((Z20+X20)/2))</f>
        <v/>
      </c>
      <c r="AB20" s="391">
        <f>IF(AA20&lt;3,"NINGUNO",IF(AA20&lt;=9,"LEVE O MODERADO","SEVERO"))</f>
        <v/>
      </c>
      <c r="AC20" s="280" t="n">
        <v>70</v>
      </c>
      <c r="AD20" s="281" t="n">
        <v>0</v>
      </c>
      <c r="AE20" s="281" t="n">
        <v>0</v>
      </c>
    </row>
    <row r="21" ht="15.75" customFormat="1" customHeight="1" s="301" thickBot="1">
      <c r="B21" s="265" t="inlineStr">
        <is>
          <t>M11</t>
        </is>
      </c>
      <c r="C21" s="265" t="n"/>
      <c r="D21" s="265" t="n"/>
      <c r="E21" s="265" t="n"/>
      <c r="F21" s="266" t="n"/>
      <c r="G21" s="400" t="n"/>
      <c r="H21" s="392" t="n"/>
      <c r="I21" s="401" t="n"/>
      <c r="J21" s="391" t="n"/>
      <c r="K21" s="272" t="n"/>
      <c r="L21" s="272" t="n"/>
      <c r="M21" s="271" t="n"/>
      <c r="N21" s="392" t="n"/>
      <c r="O21" s="392" t="n"/>
      <c r="P21" s="275" t="n"/>
      <c r="Q21" s="283" t="n"/>
      <c r="R21" s="392" t="n"/>
      <c r="S21" s="276" t="n"/>
      <c r="T21" s="277" t="n"/>
      <c r="U21" s="272" t="n"/>
      <c r="V21" s="278" t="n"/>
      <c r="W21" s="279" t="n"/>
      <c r="X21" s="391">
        <f>(U21/($U$2/$U$3))</f>
        <v/>
      </c>
      <c r="Y21" s="391">
        <f>(V21/($V$2/$V$3))</f>
        <v/>
      </c>
      <c r="Z21" s="391">
        <f>(W21/($W$2/$W$3))</f>
        <v/>
      </c>
      <c r="AA21" s="391">
        <f>(Y21)/SQRT(((Z21+X21)/2))</f>
        <v/>
      </c>
      <c r="AB21" s="391">
        <f>IF(AA21&lt;3,"NINGUNO",IF(AA21&lt;=9,"LEVE O MODERADO","SEVERO"))</f>
        <v/>
      </c>
      <c r="AC21" s="280" t="n">
        <v>50</v>
      </c>
      <c r="AD21" s="280" t="n">
        <v>5</v>
      </c>
      <c r="AE21" s="280" t="n">
        <v>5</v>
      </c>
    </row>
    <row r="22" ht="15.75" customFormat="1" customHeight="1" s="302" thickBot="1">
      <c r="B22" s="237" t="inlineStr">
        <is>
          <t>M12</t>
        </is>
      </c>
      <c r="C22" s="237" t="n"/>
      <c r="D22" s="237" t="n"/>
      <c r="E22" s="237" t="n"/>
      <c r="F22" s="220" t="n"/>
      <c r="G22" s="393" t="n"/>
      <c r="H22" s="394" t="n"/>
      <c r="I22" s="395" t="n"/>
      <c r="J22" s="396" t="n"/>
      <c r="K22" s="247" t="n"/>
      <c r="L22" s="246" t="n"/>
      <c r="M22" s="247" t="n"/>
      <c r="N22" s="394" t="n"/>
      <c r="O22" s="250" t="n"/>
      <c r="P22" s="234" t="n"/>
      <c r="Q22" s="258" t="n"/>
      <c r="R22" s="394" t="n"/>
      <c r="S22" s="254" t="n"/>
      <c r="T22" s="248" t="n"/>
      <c r="U22" s="246" t="n"/>
      <c r="V22" s="255" t="n"/>
      <c r="W22" s="238" t="n"/>
      <c r="X22" s="396">
        <f>(U22/($U$2/$U$3))</f>
        <v/>
      </c>
      <c r="Y22" s="396">
        <f>(V22/($V$2/$V$3))</f>
        <v/>
      </c>
      <c r="Z22" s="396">
        <f>(W22/($W$2/$W$3))</f>
        <v/>
      </c>
      <c r="AA22" s="396">
        <f>(Y22)/SQRT(((Z22+X22)/2))</f>
        <v/>
      </c>
      <c r="AB22" s="396">
        <f>IF(AA22&lt;3,"NINGUNO",IF(AA22&lt;=9,"LEVE O MODERADO","SEVERO"))</f>
        <v/>
      </c>
      <c r="AC22" s="253" t="inlineStr">
        <is>
          <t>-</t>
        </is>
      </c>
      <c r="AD22" s="253" t="inlineStr">
        <is>
          <t>-</t>
        </is>
      </c>
      <c r="AE22" s="253" t="inlineStr">
        <is>
          <t>-</t>
        </is>
      </c>
    </row>
    <row r="23" ht="15.75" customFormat="1" customHeight="1" s="301" thickBot="1">
      <c r="B23" s="265" t="inlineStr">
        <is>
          <t>M13</t>
        </is>
      </c>
      <c r="C23" s="265" t="n"/>
      <c r="D23" s="265" t="n"/>
      <c r="E23" s="265" t="n"/>
      <c r="F23" s="266" t="n"/>
      <c r="G23" s="400" t="n"/>
      <c r="H23" s="392" t="n"/>
      <c r="I23" s="401" t="n"/>
      <c r="J23" s="391" t="n"/>
      <c r="K23" s="272" t="n"/>
      <c r="L23" s="272" t="n"/>
      <c r="M23" s="271" t="n"/>
      <c r="N23" s="392" t="n"/>
      <c r="O23" s="274" t="n"/>
      <c r="P23" s="275" t="n"/>
      <c r="Q23" s="283" t="n"/>
      <c r="R23" s="392" t="n"/>
      <c r="S23" s="276" t="n"/>
      <c r="T23" s="277" t="n"/>
      <c r="U23" s="272" t="n"/>
      <c r="V23" s="278" t="n"/>
      <c r="W23" s="279" t="n"/>
      <c r="X23" s="391">
        <f>(U23/($U$2/$U$3))</f>
        <v/>
      </c>
      <c r="Y23" s="391">
        <f>(V23/($V$2/$V$3))</f>
        <v/>
      </c>
      <c r="Z23" s="391">
        <f>(W23/($W$2/$W$3))</f>
        <v/>
      </c>
      <c r="AA23" s="391">
        <f>(Y23)/SQRT(((Z23+X23)/2))</f>
        <v/>
      </c>
      <c r="AB23" s="391">
        <f>IF(AA23&lt;3,"NINGUNO",IF(AA23&lt;=9,"LEVE O MODERADO","SEVERO"))</f>
        <v/>
      </c>
      <c r="AC23" s="280" t="n">
        <v>20</v>
      </c>
      <c r="AD23" s="281" t="n">
        <v>0</v>
      </c>
      <c r="AE23" s="281" t="n">
        <v>0</v>
      </c>
    </row>
    <row r="24" ht="15.75" customFormat="1" customHeight="1" s="302" thickBot="1">
      <c r="B24" s="237" t="inlineStr">
        <is>
          <t>M14</t>
        </is>
      </c>
      <c r="C24" s="237" t="n"/>
      <c r="D24" s="237" t="n"/>
      <c r="E24" s="237" t="n"/>
      <c r="F24" s="220" t="n"/>
      <c r="G24" s="393" t="n"/>
      <c r="H24" s="394" t="n"/>
      <c r="I24" s="395" t="n"/>
      <c r="J24" s="396" t="n"/>
      <c r="K24" s="246" t="n"/>
      <c r="L24" s="246" t="n"/>
      <c r="M24" s="247" t="n"/>
      <c r="N24" s="394" t="n"/>
      <c r="O24" s="250" t="n"/>
      <c r="P24" s="234" t="n"/>
      <c r="Q24" s="258" t="n"/>
      <c r="R24" s="394" t="n"/>
      <c r="S24" s="254" t="n"/>
      <c r="T24" s="248" t="n"/>
      <c r="U24" s="246" t="n"/>
      <c r="V24" s="255" t="n"/>
      <c r="W24" s="238" t="n"/>
      <c r="X24" s="396">
        <f>(U24/($U$2/$U$3))</f>
        <v/>
      </c>
      <c r="Y24" s="396">
        <f>(V24/($V$2/$V$3))</f>
        <v/>
      </c>
      <c r="Z24" s="396">
        <f>(W24/($W$2/$W$3))</f>
        <v/>
      </c>
      <c r="AA24" s="396">
        <f>(Y24)/SQRT(((Z24+X24)/2))</f>
        <v/>
      </c>
      <c r="AB24" s="396">
        <f>IF(AA24&lt;3,"NINGUNO",IF(AA24&lt;=9,"LEVE O MODERADO","SEVERO"))</f>
        <v/>
      </c>
      <c r="AC24" s="264" t="inlineStr">
        <is>
          <t>-</t>
        </is>
      </c>
      <c r="AD24" s="238" t="inlineStr">
        <is>
          <t>-</t>
        </is>
      </c>
      <c r="AE24" s="238" t="inlineStr">
        <is>
          <t>-</t>
        </is>
      </c>
    </row>
    <row r="25" ht="15.75" customFormat="1" customHeight="1" s="301" thickBot="1">
      <c r="B25" s="265" t="inlineStr">
        <is>
          <t>M15</t>
        </is>
      </c>
      <c r="C25" s="265" t="n"/>
      <c r="D25" s="265" t="n"/>
      <c r="E25" s="265" t="n"/>
      <c r="F25" s="266" t="n"/>
      <c r="G25" s="403" t="n"/>
      <c r="H25" s="392" t="n"/>
      <c r="I25" s="401" t="n"/>
      <c r="J25" s="404" t="n"/>
      <c r="K25" s="392" t="n"/>
      <c r="L25" s="272" t="n"/>
      <c r="M25" s="271" t="n"/>
      <c r="N25" s="392" t="n"/>
      <c r="O25" s="392" t="n"/>
      <c r="P25" s="275" t="n"/>
      <c r="Q25" s="283" t="n"/>
      <c r="R25" s="392" t="n"/>
      <c r="S25" s="276" t="n"/>
      <c r="T25" s="277" t="n"/>
      <c r="U25" s="272" t="n"/>
      <c r="V25" s="278" t="n"/>
      <c r="W25" s="279" t="n"/>
      <c r="X25" s="391">
        <f>(U25/($U$2/$U$3))</f>
        <v/>
      </c>
      <c r="Y25" s="391">
        <f>(V25/($V$2/$V$3))</f>
        <v/>
      </c>
      <c r="Z25" s="391">
        <f>(W25/($W$2/$W$3))</f>
        <v/>
      </c>
      <c r="AA25" s="391">
        <f>(Y25)/SQRT(((Z25+X25)/2))</f>
        <v/>
      </c>
      <c r="AB25" s="391">
        <f>IF(AA25&lt;3,"NINGUNO",IF(AA25&lt;=9,"LEVE O MODERADO","SEVERO"))</f>
        <v/>
      </c>
      <c r="AC25" s="280" t="n">
        <v>50</v>
      </c>
      <c r="AD25" s="281" t="n">
        <v>0</v>
      </c>
      <c r="AE25" s="281" t="n">
        <v>0</v>
      </c>
    </row>
    <row r="26" ht="15.75" customFormat="1" customHeight="1" s="301" thickBot="1">
      <c r="B26" s="265" t="inlineStr">
        <is>
          <t>M16</t>
        </is>
      </c>
      <c r="C26" s="265" t="n"/>
      <c r="D26" s="265" t="n"/>
      <c r="E26" s="265" t="n"/>
      <c r="F26" s="266" t="n"/>
      <c r="G26" s="405" t="n"/>
      <c r="H26" s="406" t="n"/>
      <c r="I26" s="407" t="n"/>
      <c r="J26" s="406" t="n"/>
      <c r="K26" s="271" t="n"/>
      <c r="L26" s="272" t="n"/>
      <c r="M26" s="271" t="n"/>
      <c r="N26" s="406" t="n"/>
      <c r="O26" s="392" t="n"/>
      <c r="P26" s="275" t="n"/>
      <c r="Q26" s="283" t="n"/>
      <c r="R26" s="392" t="n"/>
      <c r="S26" s="276" t="n"/>
      <c r="T26" s="277" t="n"/>
      <c r="U26" s="272" t="n"/>
      <c r="V26" s="278" t="n"/>
      <c r="W26" s="279" t="n"/>
      <c r="X26" s="391">
        <f>(U26/($U$2/$U$3))</f>
        <v/>
      </c>
      <c r="Y26" s="391">
        <f>(V26/($V$2/$V$3))</f>
        <v/>
      </c>
      <c r="Z26" s="391">
        <f>(W26/($W$2/$W$3))</f>
        <v/>
      </c>
      <c r="AA26" s="391">
        <f>(Y26)/SQRT(((Z26+X26)/2))</f>
        <v/>
      </c>
      <c r="AB26" s="391">
        <f>IF(AA26&lt;3,"NINGUNO",IF(AA26&lt;=9,"LEVE O MODERADO","SEVERO"))</f>
        <v/>
      </c>
      <c r="AC26" s="280" t="n">
        <v>80</v>
      </c>
      <c r="AD26" s="280" t="n">
        <v>1</v>
      </c>
      <c r="AE26" s="280" t="n">
        <v>1</v>
      </c>
    </row>
    <row r="27" ht="15.75" customFormat="1" customHeight="1" s="302" thickBot="1">
      <c r="B27" s="237" t="inlineStr">
        <is>
          <t>M17</t>
        </is>
      </c>
      <c r="C27" s="237" t="n"/>
      <c r="D27" s="237" t="n"/>
      <c r="E27" s="237" t="n"/>
      <c r="F27" s="220" t="n"/>
      <c r="G27" s="393" t="n"/>
      <c r="H27" s="394" t="n"/>
      <c r="I27" s="393" t="n"/>
      <c r="J27" s="394" t="n"/>
      <c r="K27" s="247" t="n"/>
      <c r="L27" s="246" t="n"/>
      <c r="M27" s="247" t="n"/>
      <c r="N27" s="394" t="n"/>
      <c r="O27" s="394" t="n"/>
      <c r="P27" s="234" t="n"/>
      <c r="Q27" s="258" t="n"/>
      <c r="R27" s="394" t="n"/>
      <c r="S27" s="254" t="n"/>
      <c r="T27" s="248" t="n"/>
      <c r="U27" s="246" t="n"/>
      <c r="V27" s="255" t="n"/>
      <c r="W27" s="238" t="n"/>
      <c r="X27" s="396">
        <f>(U27/($U$2/$U$3))</f>
        <v/>
      </c>
      <c r="Y27" s="396">
        <f>(V27/($V$2/$V$3))</f>
        <v/>
      </c>
      <c r="Z27" s="396">
        <f>(W27/($W$2/$W$3))</f>
        <v/>
      </c>
      <c r="AA27" s="396">
        <f>(Y27)/SQRT(((Z27+X27)/2))</f>
        <v/>
      </c>
      <c r="AB27" s="396">
        <f>IF(AA27&lt;3,"NINGUNO",IF(AA27&lt;=9,"LEVE O MODERADO","SEVERO"))</f>
        <v/>
      </c>
      <c r="AC27" s="253" t="inlineStr">
        <is>
          <t>-</t>
        </is>
      </c>
      <c r="AD27" s="253" t="inlineStr">
        <is>
          <t>-</t>
        </is>
      </c>
      <c r="AE27" s="253" t="inlineStr">
        <is>
          <t>-</t>
        </is>
      </c>
    </row>
    <row r="28" ht="15.75" customFormat="1" customHeight="1" s="301" thickBot="1">
      <c r="B28" s="265" t="inlineStr">
        <is>
          <t>M18</t>
        </is>
      </c>
      <c r="C28" s="265" t="n"/>
      <c r="D28" s="265" t="n"/>
      <c r="E28" s="265" t="n"/>
      <c r="F28" s="266" t="n"/>
      <c r="G28" s="400" t="n"/>
      <c r="H28" s="392" t="n"/>
      <c r="I28" s="401" t="n"/>
      <c r="J28" s="391" t="n"/>
      <c r="K28" s="272" t="n"/>
      <c r="L28" s="272" t="n"/>
      <c r="M28" s="271" t="n"/>
      <c r="N28" s="392" t="n"/>
      <c r="O28" s="392" t="n"/>
      <c r="P28" s="275" t="n"/>
      <c r="Q28" s="283" t="n"/>
      <c r="R28" s="392" t="n"/>
      <c r="S28" s="276" t="n"/>
      <c r="T28" s="277" t="n"/>
      <c r="U28" s="272" t="n"/>
      <c r="V28" s="278" t="n"/>
      <c r="W28" s="279" t="n"/>
      <c r="X28" s="391">
        <f>(U28/($U$2/$U$3))</f>
        <v/>
      </c>
      <c r="Y28" s="391">
        <f>(V28/($V$2/$V$3))</f>
        <v/>
      </c>
      <c r="Z28" s="391">
        <f>(W28/($W$2/$W$3))</f>
        <v/>
      </c>
      <c r="AA28" s="391">
        <f>(Y28)/SQRT(((Z28+X28)/2))</f>
        <v/>
      </c>
      <c r="AB28" s="391">
        <f>IF(AA28&lt;3,"NINGUNO",IF(AA28&lt;=9,"LEVE O MODERADO","SEVERO"))</f>
        <v/>
      </c>
      <c r="AC28" s="280" t="n">
        <v>100</v>
      </c>
      <c r="AD28" s="279" t="n">
        <v>0</v>
      </c>
      <c r="AE28" s="279" t="n">
        <v>0</v>
      </c>
    </row>
    <row r="29" ht="15.75" customFormat="1" customHeight="1" s="301" thickBot="1">
      <c r="B29" s="265" t="inlineStr">
        <is>
          <t>M19</t>
        </is>
      </c>
      <c r="C29" s="265" t="n"/>
      <c r="D29" s="265" t="n"/>
      <c r="E29" s="265" t="n"/>
      <c r="F29" s="266" t="n"/>
      <c r="G29" s="400" t="n"/>
      <c r="H29" s="392" t="n"/>
      <c r="I29" s="400" t="n"/>
      <c r="J29" s="391" t="n"/>
      <c r="K29" s="271" t="n"/>
      <c r="L29" s="391" t="n"/>
      <c r="M29" s="271" t="n"/>
      <c r="N29" s="392" t="n"/>
      <c r="O29" s="392" t="n"/>
      <c r="P29" s="275" t="n"/>
      <c r="Q29" s="283" t="n"/>
      <c r="R29" s="392" t="n"/>
      <c r="S29" s="276" t="n"/>
      <c r="T29" s="277" t="n"/>
      <c r="U29" s="272" t="n"/>
      <c r="V29" s="278" t="n"/>
      <c r="W29" s="279" t="n"/>
      <c r="X29" s="391">
        <f>(U29/($U$2/$U$3))</f>
        <v/>
      </c>
      <c r="Y29" s="391">
        <f>(V29/($V$2/$V$3))</f>
        <v/>
      </c>
      <c r="Z29" s="391">
        <f>(W29/($W$2/$W$3))</f>
        <v/>
      </c>
      <c r="AA29" s="391">
        <f>(Y29)/SQRT(((Z29+X29)/2))</f>
        <v/>
      </c>
      <c r="AB29" s="391">
        <f>IF(AA29&lt;3,"NINGUNO",IF(AA29&lt;=9,"LEVE O MODERADO","SEVERO"))</f>
        <v/>
      </c>
      <c r="AC29" s="280" t="n">
        <v>75</v>
      </c>
      <c r="AD29" s="279" t="n">
        <v>0</v>
      </c>
      <c r="AE29" s="279" t="n">
        <v>0</v>
      </c>
    </row>
    <row r="30" ht="15.75" customFormat="1" customHeight="1" s="302" thickBot="1">
      <c r="B30" s="237" t="inlineStr">
        <is>
          <t>M20</t>
        </is>
      </c>
      <c r="C30" s="237" t="n"/>
      <c r="D30" s="237" t="n"/>
      <c r="E30" s="237" t="n"/>
      <c r="F30" s="220" t="n"/>
      <c r="G30" s="393" t="n"/>
      <c r="H30" s="394" t="n"/>
      <c r="I30" s="393" t="n"/>
      <c r="J30" s="396" t="n"/>
      <c r="K30" s="246" t="n"/>
      <c r="L30" s="246" t="n"/>
      <c r="M30" s="247" t="n"/>
      <c r="N30" s="394" t="n"/>
      <c r="O30" s="394" t="n"/>
      <c r="P30" s="234" t="n"/>
      <c r="Q30" s="258" t="n"/>
      <c r="R30" s="394" t="n"/>
      <c r="S30" s="254" t="n"/>
      <c r="T30" s="248" t="n"/>
      <c r="U30" s="246" t="n"/>
      <c r="V30" s="255" t="n"/>
      <c r="W30" s="238" t="n"/>
      <c r="X30" s="396">
        <f>(U30/($U$2/$U$3))</f>
        <v/>
      </c>
      <c r="Y30" s="396">
        <f>(V30/($V$2/$V$3))</f>
        <v/>
      </c>
      <c r="Z30" s="396">
        <f>(W30/($W$2/$W$3))</f>
        <v/>
      </c>
      <c r="AA30" s="396">
        <f>(Y30)/SQRT(((Z30+X30)/2))</f>
        <v/>
      </c>
      <c r="AB30" s="396">
        <f>IF(AA30&lt;3,"NINGUNO",IF(AA30&lt;=9,"LEVE O MODERADO","SEVERO"))</f>
        <v/>
      </c>
      <c r="AC30" s="253" t="inlineStr">
        <is>
          <t>-</t>
        </is>
      </c>
      <c r="AD30" s="253" t="inlineStr">
        <is>
          <t>-</t>
        </is>
      </c>
      <c r="AE30" s="253" t="inlineStr">
        <is>
          <t>-</t>
        </is>
      </c>
    </row>
    <row r="31" ht="15.75" customFormat="1" customHeight="1" s="301" thickBot="1">
      <c r="B31" s="265" t="inlineStr">
        <is>
          <t>M21</t>
        </is>
      </c>
      <c r="C31" s="265" t="n"/>
      <c r="D31" s="265" t="n"/>
      <c r="E31" s="265" t="n"/>
      <c r="F31" s="266" t="n"/>
      <c r="G31" s="400" t="n"/>
      <c r="H31" s="392" t="n"/>
      <c r="I31" s="400" t="n"/>
      <c r="J31" s="391" t="n"/>
      <c r="K31" s="271" t="n"/>
      <c r="L31" s="272" t="n"/>
      <c r="M31" s="271" t="n"/>
      <c r="N31" s="392" t="n"/>
      <c r="O31" s="274" t="n"/>
      <c r="P31" s="275" t="n"/>
      <c r="Q31" s="283" t="n"/>
      <c r="R31" s="392" t="n"/>
      <c r="S31" s="276" t="n"/>
      <c r="T31" s="277" t="n"/>
      <c r="U31" s="272" t="n"/>
      <c r="V31" s="278" t="n"/>
      <c r="W31" s="279" t="n"/>
      <c r="X31" s="391">
        <f>(U31/($U$2/$U$3))</f>
        <v/>
      </c>
      <c r="Y31" s="391">
        <f>(V31/($V$2/$V$3))</f>
        <v/>
      </c>
      <c r="Z31" s="391">
        <f>(W31/($W$2/$W$3))</f>
        <v/>
      </c>
      <c r="AA31" s="391">
        <f>(Y31)/SQRT(((Z31+X31)/2))</f>
        <v/>
      </c>
      <c r="AB31" s="391">
        <f>IF(AA31&lt;3,"NINGUNO",IF(AA31&lt;=9,"LEVE O MODERADO","SEVERO"))</f>
        <v/>
      </c>
      <c r="AC31" s="280" t="n">
        <v>50</v>
      </c>
      <c r="AD31" s="280" t="n">
        <v>2</v>
      </c>
      <c r="AE31" s="279" t="n">
        <v>0</v>
      </c>
    </row>
    <row r="32" ht="15.75" customFormat="1" customHeight="1" s="301" thickBot="1">
      <c r="B32" s="265" t="inlineStr">
        <is>
          <t>M22</t>
        </is>
      </c>
      <c r="C32" s="265" t="n"/>
      <c r="D32" s="265" t="n"/>
      <c r="E32" s="265" t="n"/>
      <c r="F32" s="266" t="n"/>
      <c r="G32" s="400" t="n"/>
      <c r="H32" s="392" t="n"/>
      <c r="I32" s="400" t="n"/>
      <c r="J32" s="391" t="n"/>
      <c r="K32" s="272" t="n"/>
      <c r="L32" s="272" t="n"/>
      <c r="M32" s="271" t="n"/>
      <c r="N32" s="392" t="n"/>
      <c r="O32" s="274" t="n"/>
      <c r="P32" s="275" t="n"/>
      <c r="Q32" s="402" t="n"/>
      <c r="R32" s="392" t="n"/>
      <c r="S32" s="276" t="n"/>
      <c r="T32" s="277" t="n"/>
      <c r="U32" s="272" t="n"/>
      <c r="V32" s="278" t="n"/>
      <c r="W32" s="279" t="n"/>
      <c r="X32" s="391">
        <f>(U32/($U$2/$U$3))</f>
        <v/>
      </c>
      <c r="Y32" s="391">
        <f>(V32/($V$2/$V$3))</f>
        <v/>
      </c>
      <c r="Z32" s="391">
        <f>(W32/($W$2/$W$3))</f>
        <v/>
      </c>
      <c r="AA32" s="391">
        <f>(Y32)/SQRT(((Z32+X32)/2))</f>
        <v/>
      </c>
      <c r="AB32" s="391">
        <f>IF(AA32&lt;3,"NINGUNO",IF(AA32&lt;=9,"LEVE O MODERADO","SEVERO"))</f>
        <v/>
      </c>
      <c r="AC32" s="280" t="n">
        <v>20</v>
      </c>
      <c r="AD32" s="279" t="n">
        <v>0</v>
      </c>
      <c r="AE32" s="279" t="n">
        <v>0</v>
      </c>
    </row>
    <row r="33" ht="15.75" customFormat="1" customHeight="1" s="301" thickBot="1">
      <c r="B33" s="265" t="inlineStr">
        <is>
          <t>M23</t>
        </is>
      </c>
      <c r="C33" s="265" t="n"/>
      <c r="D33" s="265" t="n"/>
      <c r="E33" s="265" t="n"/>
      <c r="F33" s="266" t="n"/>
      <c r="G33" s="400" t="n"/>
      <c r="H33" s="392" t="n"/>
      <c r="I33" s="400" t="n"/>
      <c r="J33" s="391" t="n"/>
      <c r="K33" s="271" t="n"/>
      <c r="L33" s="272" t="n"/>
      <c r="M33" s="271" t="n"/>
      <c r="N33" s="392" t="n"/>
      <c r="O33" s="274" t="n"/>
      <c r="P33" s="275" t="n"/>
      <c r="Q33" s="402" t="n"/>
      <c r="R33" s="392" t="n"/>
      <c r="S33" s="276" t="n"/>
      <c r="T33" s="277" t="n"/>
      <c r="U33" s="272" t="n"/>
      <c r="V33" s="278" t="n"/>
      <c r="W33" s="279" t="n"/>
      <c r="X33" s="391">
        <f>(U33/($U$2/$U$3))</f>
        <v/>
      </c>
      <c r="Y33" s="391">
        <f>(V33/($V$2/$V$3))</f>
        <v/>
      </c>
      <c r="Z33" s="391">
        <f>(W33/($W$2/$W$3))</f>
        <v/>
      </c>
      <c r="AA33" s="391">
        <f>(Y33)/SQRT(((Z33+X33)/2))</f>
        <v/>
      </c>
      <c r="AB33" s="391">
        <f>IF(AA33&lt;3,"NINGUNO",IF(AA33&lt;=9,"LEVE O MODERADO","SEVERO"))</f>
        <v/>
      </c>
      <c r="AC33" s="280" t="n">
        <v>100</v>
      </c>
      <c r="AD33" s="280" t="n">
        <v>25</v>
      </c>
      <c r="AE33" s="280" t="n">
        <v>2</v>
      </c>
    </row>
    <row r="34" ht="15.75" customFormat="1" customHeight="1" s="302" thickBot="1">
      <c r="A34" s="408" t="n"/>
      <c r="B34" s="237" t="inlineStr">
        <is>
          <t>M24</t>
        </is>
      </c>
      <c r="C34" s="237" t="n"/>
      <c r="D34" s="237" t="n"/>
      <c r="E34" s="237" t="n"/>
      <c r="F34" s="220" t="n"/>
      <c r="G34" s="393" t="n"/>
      <c r="H34" s="394" t="n"/>
      <c r="I34" s="393" t="n"/>
      <c r="J34" s="396" t="n"/>
      <c r="K34" s="247" t="n"/>
      <c r="L34" s="246" t="n"/>
      <c r="M34" s="247" t="n"/>
      <c r="N34" s="250" t="n"/>
      <c r="O34" s="250" t="n"/>
      <c r="P34" s="234" t="n"/>
      <c r="Q34" s="258" t="n"/>
      <c r="R34" s="394" t="n"/>
      <c r="S34" s="254" t="n"/>
      <c r="T34" s="248" t="n"/>
      <c r="U34" s="246" t="n"/>
      <c r="V34" s="255" t="n"/>
      <c r="W34" s="238" t="n"/>
      <c r="X34" s="396">
        <f>(U34/($U$2/$U$3))</f>
        <v/>
      </c>
      <c r="Y34" s="396">
        <f>(V34/($V$2/$V$3))</f>
        <v/>
      </c>
      <c r="Z34" s="396">
        <f>(W34/($W$2/$W$3))</f>
        <v/>
      </c>
      <c r="AA34" s="396">
        <f>(Y34)/SQRT(((Z34+X34)/2))</f>
        <v/>
      </c>
      <c r="AB34" s="396">
        <f>IF(AA34&lt;3,"NINGUNO",IF(AA34&lt;=9,"LEVE O MODERADO","SEVERO"))</f>
        <v/>
      </c>
      <c r="AC34" s="253" t="inlineStr">
        <is>
          <t>-</t>
        </is>
      </c>
      <c r="AD34" s="253" t="inlineStr">
        <is>
          <t>-</t>
        </is>
      </c>
      <c r="AE34" s="253" t="inlineStr">
        <is>
          <t>-</t>
        </is>
      </c>
    </row>
    <row r="35" ht="15.75" customFormat="1" customHeight="1" s="301" thickBot="1">
      <c r="B35" s="265" t="inlineStr">
        <is>
          <t>M25</t>
        </is>
      </c>
      <c r="C35" s="265" t="n"/>
      <c r="D35" s="265" t="n"/>
      <c r="E35" s="265" t="n"/>
      <c r="F35" s="266" t="n"/>
      <c r="G35" s="400" t="n"/>
      <c r="H35" s="392" t="n"/>
      <c r="I35" s="400" t="n"/>
      <c r="J35" s="391" t="n"/>
      <c r="K35" s="271" t="n"/>
      <c r="L35" s="272" t="n"/>
      <c r="M35" s="271" t="n"/>
      <c r="N35" s="392" t="n"/>
      <c r="O35" s="274" t="n"/>
      <c r="P35" s="275" t="n"/>
      <c r="Q35" s="402" t="n"/>
      <c r="R35" s="392" t="n"/>
      <c r="S35" s="276" t="n"/>
      <c r="T35" s="277" t="n"/>
      <c r="U35" s="272" t="n"/>
      <c r="V35" s="278" t="n"/>
      <c r="W35" s="279" t="n"/>
      <c r="X35" s="391">
        <f>(U35/($U$2/$U$3))</f>
        <v/>
      </c>
      <c r="Y35" s="391">
        <f>(V35/($V$2/$V$3))</f>
        <v/>
      </c>
      <c r="Z35" s="391">
        <f>(W35/($W$2/$W$3))</f>
        <v/>
      </c>
      <c r="AA35" s="391">
        <f>(Y35)/SQRT(((Z35+X35)/2))</f>
        <v/>
      </c>
      <c r="AB35" s="391">
        <f>IF(AA35&lt;3,"NINGUNO",IF(AA35&lt;=9,"LEVE O MODERADO","SEVERO"))</f>
        <v/>
      </c>
      <c r="AC35" s="280" t="n">
        <v>100</v>
      </c>
      <c r="AD35" s="281" t="n">
        <v>0</v>
      </c>
      <c r="AE35" s="281" t="n">
        <v>0</v>
      </c>
    </row>
    <row r="36" ht="15.75" customFormat="1" customHeight="1" s="301" thickBot="1">
      <c r="B36" s="265" t="inlineStr">
        <is>
          <t>M26</t>
        </is>
      </c>
      <c r="C36" s="265" t="n"/>
      <c r="D36" s="265" t="n"/>
      <c r="E36" s="265" t="n"/>
      <c r="F36" s="266" t="n"/>
      <c r="G36" s="400" t="n"/>
      <c r="H36" s="392" t="n"/>
      <c r="I36" s="400" t="n"/>
      <c r="J36" s="391" t="n"/>
      <c r="K36" s="271" t="n"/>
      <c r="L36" s="272" t="n"/>
      <c r="M36" s="271" t="n"/>
      <c r="N36" s="392" t="n"/>
      <c r="O36" s="392" t="n"/>
      <c r="P36" s="275" t="n"/>
      <c r="Q36" s="283" t="n"/>
      <c r="R36" s="392" t="n"/>
      <c r="S36" s="276" t="n"/>
      <c r="T36" s="277" t="n"/>
      <c r="U36" s="272" t="n"/>
      <c r="V36" s="278" t="n"/>
      <c r="W36" s="279" t="n"/>
      <c r="X36" s="391">
        <f>(U36/($U$2/$U$3))</f>
        <v/>
      </c>
      <c r="Y36" s="391">
        <f>(V36/($V$2/$V$3))</f>
        <v/>
      </c>
      <c r="Z36" s="391">
        <f>(W36/($W$2/$W$3))</f>
        <v/>
      </c>
      <c r="AA36" s="391">
        <f>(Y36)/SQRT(((Z36+X36)/2))</f>
        <v/>
      </c>
      <c r="AB36" s="391">
        <f>IF(AA36&lt;3,"NINGUNO",IF(AA36&lt;=9,"LEVE O MODERADO","SEVERO"))</f>
        <v/>
      </c>
      <c r="AC36" s="280" t="n">
        <v>100</v>
      </c>
      <c r="AD36" s="281" t="n">
        <v>0</v>
      </c>
      <c r="AE36" s="281" t="n">
        <v>0</v>
      </c>
    </row>
    <row r="37" ht="15.75" customFormat="1" customHeight="1" s="302" thickBot="1">
      <c r="B37" s="232" t="inlineStr">
        <is>
          <t>M27</t>
        </is>
      </c>
      <c r="C37" s="237" t="n"/>
      <c r="D37" s="237" t="n"/>
      <c r="E37" s="237" t="n"/>
      <c r="F37" s="220" t="n"/>
      <c r="G37" s="393" t="n"/>
      <c r="H37" s="394" t="n"/>
      <c r="I37" s="393" t="n"/>
      <c r="J37" s="396" t="n"/>
      <c r="K37" s="247" t="n"/>
      <c r="L37" s="246" t="n"/>
      <c r="M37" s="247" t="n"/>
      <c r="N37" s="394" t="n"/>
      <c r="O37" s="394" t="n"/>
      <c r="P37" s="234" t="n"/>
      <c r="Q37" s="258" t="n"/>
      <c r="R37" s="394" t="n"/>
      <c r="S37" s="254" t="n"/>
      <c r="T37" s="248" t="n"/>
      <c r="U37" s="246" t="n"/>
      <c r="V37" s="255" t="n"/>
      <c r="W37" s="238" t="n"/>
      <c r="X37" s="396">
        <f>(U37/($U$2/$U$3))</f>
        <v/>
      </c>
      <c r="Y37" s="396">
        <f>(V37/($V$2/$V$3))</f>
        <v/>
      </c>
      <c r="Z37" s="396">
        <f>(W37/($W$2/$W$3))</f>
        <v/>
      </c>
      <c r="AA37" s="396">
        <f>(Y37)/SQRT(((Z37+X37)/2))</f>
        <v/>
      </c>
      <c r="AB37" s="396">
        <f>IF(AA37&lt;3,"NINGUNO",IF(AA37&lt;=9,"LEVE O MODERADO","SEVERO"))</f>
        <v/>
      </c>
      <c r="AC37" s="253" t="inlineStr">
        <is>
          <t>-</t>
        </is>
      </c>
      <c r="AD37" s="253" t="inlineStr">
        <is>
          <t>-</t>
        </is>
      </c>
      <c r="AE37" s="253" t="inlineStr">
        <is>
          <t>-</t>
        </is>
      </c>
    </row>
    <row r="38" ht="15.75" customFormat="1" customHeight="1" s="302" thickBot="1">
      <c r="B38" s="237" t="inlineStr">
        <is>
          <t>M28</t>
        </is>
      </c>
      <c r="C38" s="237" t="n"/>
      <c r="D38" s="237" t="n"/>
      <c r="E38" s="237" t="n"/>
      <c r="F38" s="220" t="n"/>
      <c r="G38" s="393" t="n"/>
      <c r="H38" s="394" t="n"/>
      <c r="I38" s="393" t="n"/>
      <c r="J38" s="396" t="n"/>
      <c r="K38" s="247" t="n"/>
      <c r="L38" s="246" t="n"/>
      <c r="M38" s="247" t="n"/>
      <c r="N38" s="394" t="n"/>
      <c r="O38" s="394" t="n"/>
      <c r="P38" s="234" t="n"/>
      <c r="Q38" s="258" t="n"/>
      <c r="R38" s="394" t="n"/>
      <c r="S38" s="254" t="n"/>
      <c r="T38" s="248" t="n"/>
      <c r="U38" s="246" t="n"/>
      <c r="V38" s="255" t="n"/>
      <c r="W38" s="238" t="n"/>
      <c r="X38" s="396">
        <f>(U38/($U$2/$U$3))</f>
        <v/>
      </c>
      <c r="Y38" s="396">
        <f>(V38/($V$2/$V$3))</f>
        <v/>
      </c>
      <c r="Z38" s="396">
        <f>(W38/($W$2/$W$3))</f>
        <v/>
      </c>
      <c r="AA38" s="396">
        <f>(Y38)/SQRT(((Z38+X38)/2))</f>
        <v/>
      </c>
      <c r="AB38" s="396">
        <f>IF(AA38&lt;3,"NINGUNO",IF(AA38&lt;=9,"LEVE O MODERADO","SEVERO"))</f>
        <v/>
      </c>
      <c r="AC38" s="253" t="inlineStr">
        <is>
          <t>-</t>
        </is>
      </c>
      <c r="AD38" s="253" t="inlineStr">
        <is>
          <t>-</t>
        </is>
      </c>
      <c r="AE38" s="253" t="inlineStr">
        <is>
          <t>-</t>
        </is>
      </c>
    </row>
    <row r="39" ht="15.75" customFormat="1" customHeight="1" s="301" thickBot="1">
      <c r="B39" s="265" t="inlineStr">
        <is>
          <t>M29</t>
        </is>
      </c>
      <c r="C39" s="265" t="n"/>
      <c r="D39" s="265" t="n"/>
      <c r="E39" s="265" t="n"/>
      <c r="F39" s="266" t="n"/>
      <c r="G39" s="400" t="n"/>
      <c r="H39" s="392" t="n"/>
      <c r="I39" s="400" t="n"/>
      <c r="J39" s="391" t="n"/>
      <c r="K39" s="271" t="n"/>
      <c r="L39" s="272" t="n"/>
      <c r="M39" s="271" t="n"/>
      <c r="N39" s="392" t="n"/>
      <c r="O39" s="274" t="n"/>
      <c r="P39" s="275" t="n"/>
      <c r="Q39" s="283" t="n"/>
      <c r="R39" s="392" t="n"/>
      <c r="S39" s="276" t="n"/>
      <c r="T39" s="277" t="n"/>
      <c r="U39" s="272" t="n"/>
      <c r="V39" s="278" t="n"/>
      <c r="W39" s="279" t="n"/>
      <c r="X39" s="391">
        <f>(U39/($U$2/$U$3))</f>
        <v/>
      </c>
      <c r="Y39" s="391">
        <f>(V39/($V$2/$V$3))</f>
        <v/>
      </c>
      <c r="Z39" s="391">
        <f>(W39/($W$2/$W$3))</f>
        <v/>
      </c>
      <c r="AA39" s="391">
        <f>(Y39)/SQRT(((Z39+X39)/2))</f>
        <v/>
      </c>
      <c r="AB39" s="391">
        <f>IF(AA39&lt;3,"NINGUNO",IF(AA39&lt;=9,"LEVE O MODERADO","SEVERO"))</f>
        <v/>
      </c>
      <c r="AC39" s="280" t="n">
        <v>5</v>
      </c>
      <c r="AD39" s="280" t="n">
        <v>1</v>
      </c>
      <c r="AE39" s="280" t="n">
        <v>1</v>
      </c>
    </row>
    <row r="40" ht="15.75" customFormat="1" customHeight="1" s="302" thickBot="1">
      <c r="B40" s="237" t="inlineStr">
        <is>
          <t>M30</t>
        </is>
      </c>
      <c r="C40" s="237" t="n"/>
      <c r="D40" s="237" t="n"/>
      <c r="E40" s="237" t="n"/>
      <c r="F40" s="220" t="n"/>
      <c r="G40" s="393" t="n"/>
      <c r="H40" s="394" t="n"/>
      <c r="I40" s="393" t="n"/>
      <c r="J40" s="396" t="n"/>
      <c r="K40" s="247" t="n"/>
      <c r="L40" s="246" t="n"/>
      <c r="M40" s="247" t="n"/>
      <c r="N40" s="394" t="n"/>
      <c r="O40" s="394" t="n"/>
      <c r="P40" s="234" t="n"/>
      <c r="Q40" s="258" t="n"/>
      <c r="R40" s="394" t="n"/>
      <c r="S40" s="254" t="n"/>
      <c r="T40" s="248" t="n"/>
      <c r="U40" s="246" t="n"/>
      <c r="V40" s="255" t="n"/>
      <c r="W40" s="238" t="n"/>
      <c r="X40" s="396">
        <f>(U40/($U$2/$U$3))</f>
        <v/>
      </c>
      <c r="Y40" s="396">
        <f>(V40/($V$2/$V$3))</f>
        <v/>
      </c>
      <c r="Z40" s="396">
        <f>(W40/($W$2/$W$3))</f>
        <v/>
      </c>
      <c r="AA40" s="396">
        <f>(Y40)/SQRT(((Z40+X40)/2))</f>
        <v/>
      </c>
      <c r="AB40" s="396">
        <f>IF(AA40&lt;3,"NINGUNO",IF(AA40&lt;=9,"LEVE O MODERADO","SEVERO"))</f>
        <v/>
      </c>
      <c r="AC40" s="253" t="inlineStr">
        <is>
          <t>-</t>
        </is>
      </c>
      <c r="AD40" s="253" t="inlineStr">
        <is>
          <t>-</t>
        </is>
      </c>
      <c r="AE40" s="253" t="inlineStr">
        <is>
          <t>-</t>
        </is>
      </c>
    </row>
    <row r="41" ht="15.75" customFormat="1" customHeight="1" s="301" thickBot="1">
      <c r="B41" s="265" t="inlineStr">
        <is>
          <t>M31</t>
        </is>
      </c>
      <c r="C41" s="265" t="n"/>
      <c r="D41" s="265" t="n"/>
      <c r="E41" s="265" t="n"/>
      <c r="F41" s="266" t="n"/>
      <c r="G41" s="400" t="n"/>
      <c r="H41" s="392" t="n"/>
      <c r="I41" s="400" t="n"/>
      <c r="J41" s="391" t="n"/>
      <c r="K41" s="271" t="n"/>
      <c r="L41" s="272" t="n"/>
      <c r="M41" s="271" t="n"/>
      <c r="N41" s="392" t="n"/>
      <c r="O41" s="392" t="n"/>
      <c r="P41" s="275" t="n"/>
      <c r="Q41" s="283" t="n"/>
      <c r="R41" s="392" t="n"/>
      <c r="S41" s="276" t="n"/>
      <c r="T41" s="277" t="n"/>
      <c r="U41" s="272" t="n"/>
      <c r="V41" s="278" t="n"/>
      <c r="W41" s="279" t="n"/>
      <c r="X41" s="391">
        <f>(U41/($U$2/$U$3))</f>
        <v/>
      </c>
      <c r="Y41" s="391">
        <f>(V41/($V$2/$V$3))</f>
        <v/>
      </c>
      <c r="Z41" s="391">
        <f>(W41/($W$2/$W$3))</f>
        <v/>
      </c>
      <c r="AA41" s="391">
        <f>(Y41)/SQRT(((Z41+X41)/2))</f>
        <v/>
      </c>
      <c r="AB41" s="391">
        <f>IF(AA41&lt;3,"NINGUNO",IF(AA41&lt;=9,"LEVE O MODERADO","SEVERO"))</f>
        <v/>
      </c>
      <c r="AC41" s="280" t="n">
        <v>25</v>
      </c>
      <c r="AD41" s="281" t="n">
        <v>0</v>
      </c>
      <c r="AE41" s="281" t="n">
        <v>0</v>
      </c>
    </row>
    <row r="42" ht="15.75" customFormat="1" customHeight="1" s="302" thickBot="1">
      <c r="B42" s="237" t="inlineStr">
        <is>
          <t>M32</t>
        </is>
      </c>
      <c r="C42" s="237" t="n"/>
      <c r="D42" s="237" t="n"/>
      <c r="E42" s="237" t="n"/>
      <c r="F42" s="220" t="n"/>
      <c r="G42" s="393" t="n"/>
      <c r="H42" s="394" t="n"/>
      <c r="I42" s="393" t="n"/>
      <c r="J42" s="396" t="n"/>
      <c r="K42" s="247" t="n"/>
      <c r="L42" s="246" t="n"/>
      <c r="M42" s="247" t="n"/>
      <c r="N42" s="394" t="n"/>
      <c r="O42" s="250" t="n"/>
      <c r="P42" s="234" t="n"/>
      <c r="Q42" s="258" t="n"/>
      <c r="R42" s="394" t="n"/>
      <c r="S42" s="254" t="n"/>
      <c r="T42" s="248" t="n"/>
      <c r="U42" s="246" t="n"/>
      <c r="V42" s="255" t="n"/>
      <c r="W42" s="238" t="n"/>
      <c r="X42" s="396">
        <f>(U42/($U$2/$U$3))</f>
        <v/>
      </c>
      <c r="Y42" s="396">
        <f>(V42/($V$2/$V$3))</f>
        <v/>
      </c>
      <c r="Z42" s="396">
        <f>(W42/($W$2/$W$3))</f>
        <v/>
      </c>
      <c r="AA42" s="396">
        <f>(Y42)/SQRT(((Z42+X42)/2))</f>
        <v/>
      </c>
      <c r="AB42" s="396">
        <f>IF(AA42&lt;3,"NINGUNO",IF(AA42&lt;=9,"LEVE O MODERADO","SEVERO"))</f>
        <v/>
      </c>
      <c r="AC42" s="253" t="inlineStr">
        <is>
          <t>-</t>
        </is>
      </c>
      <c r="AD42" s="253" t="inlineStr">
        <is>
          <t>-</t>
        </is>
      </c>
      <c r="AE42" s="253" t="inlineStr">
        <is>
          <t>-</t>
        </is>
      </c>
    </row>
    <row r="43" ht="15.75" customFormat="1" customHeight="1" s="302" thickBot="1">
      <c r="B43" s="237" t="inlineStr">
        <is>
          <t>M33</t>
        </is>
      </c>
      <c r="C43" s="237" t="n"/>
      <c r="D43" s="237" t="n"/>
      <c r="E43" s="237" t="n"/>
      <c r="F43" s="220" t="n"/>
      <c r="G43" s="393" t="n"/>
      <c r="H43" s="394" t="n"/>
      <c r="I43" s="393" t="n"/>
      <c r="J43" s="396" t="n"/>
      <c r="K43" s="247" t="n"/>
      <c r="L43" s="246" t="n"/>
      <c r="M43" s="247" t="n"/>
      <c r="N43" s="394" t="n"/>
      <c r="O43" s="250" t="n"/>
      <c r="P43" s="234" t="n"/>
      <c r="Q43" s="258" t="n"/>
      <c r="R43" s="394" t="n"/>
      <c r="S43" s="254" t="n"/>
      <c r="T43" s="248" t="n"/>
      <c r="U43" s="246" t="n"/>
      <c r="V43" s="255" t="n"/>
      <c r="W43" s="238" t="n"/>
      <c r="X43" s="396">
        <f>(U43/($U$2/$U$3))</f>
        <v/>
      </c>
      <c r="Y43" s="396">
        <f>(V43/($V$2/$V$3))</f>
        <v/>
      </c>
      <c r="Z43" s="396">
        <f>(W43/($W$2/$W$3))</f>
        <v/>
      </c>
      <c r="AA43" s="396">
        <f>(Y43)/SQRT(((Z43+X43)/2))</f>
        <v/>
      </c>
      <c r="AB43" s="396">
        <f>IF(AA43&lt;3,"NINGUNO",IF(AA43&lt;=9,"LEVE O MODERADO","SEVERO"))</f>
        <v/>
      </c>
      <c r="AC43" s="253" t="n"/>
      <c r="AD43" s="253" t="n"/>
      <c r="AE43" s="253" t="n"/>
    </row>
    <row r="44" ht="15.75" customFormat="1" customHeight="1" s="301" thickBot="1">
      <c r="B44" s="265" t="inlineStr">
        <is>
          <t>M34</t>
        </is>
      </c>
      <c r="C44" s="265" t="n"/>
      <c r="D44" s="265" t="n"/>
      <c r="E44" s="265" t="n"/>
      <c r="F44" s="266" t="n"/>
      <c r="G44" s="400" t="n"/>
      <c r="H44" s="392" t="n"/>
      <c r="I44" s="400" t="n"/>
      <c r="J44" s="391" t="n"/>
      <c r="K44" s="271" t="n"/>
      <c r="L44" s="272" t="n"/>
      <c r="M44" s="271" t="n"/>
      <c r="N44" s="392" t="n"/>
      <c r="O44" s="274" t="n"/>
      <c r="P44" s="275" t="n"/>
      <c r="Q44" s="283" t="n"/>
      <c r="R44" s="392" t="n"/>
      <c r="S44" s="276" t="n"/>
      <c r="T44" s="277" t="n"/>
      <c r="U44" s="272" t="n"/>
      <c r="V44" s="278" t="n"/>
      <c r="W44" s="279" t="n"/>
      <c r="X44" s="391">
        <f>(U44/($U$2/$U$3))</f>
        <v/>
      </c>
      <c r="Y44" s="391">
        <f>(V44/($V$2/$V$3))</f>
        <v/>
      </c>
      <c r="Z44" s="391">
        <f>(W44/($W$2/$W$3))</f>
        <v/>
      </c>
      <c r="AA44" s="391">
        <f>(Y44)/SQRT(((Z44+X44)/2))</f>
        <v/>
      </c>
      <c r="AB44" s="391">
        <f>IF(AA44&lt;3,"NINGUNO",IF(AA44&lt;=9,"LEVE O MODERADO","SEVERO"))</f>
        <v/>
      </c>
      <c r="AC44" s="280" t="n">
        <v>10</v>
      </c>
      <c r="AD44" s="280" t="n">
        <v>10</v>
      </c>
      <c r="AE44" s="280" t="n">
        <v>5</v>
      </c>
    </row>
    <row r="45" ht="15.75" customFormat="1" customHeight="1" s="301" thickBot="1">
      <c r="B45" s="265" t="inlineStr">
        <is>
          <t>M35</t>
        </is>
      </c>
      <c r="C45" s="265" t="n"/>
      <c r="D45" s="265" t="n"/>
      <c r="E45" s="265" t="n"/>
      <c r="F45" s="266" t="n"/>
      <c r="G45" s="400" t="n"/>
      <c r="H45" s="392" t="n"/>
      <c r="I45" s="400" t="n"/>
      <c r="J45" s="391" t="n"/>
      <c r="K45" s="271" t="n"/>
      <c r="L45" s="272" t="n"/>
      <c r="M45" s="271" t="n"/>
      <c r="N45" s="392" t="n"/>
      <c r="O45" s="392" t="n"/>
      <c r="P45" s="275" t="n"/>
      <c r="Q45" s="283" t="n"/>
      <c r="R45" s="392" t="n"/>
      <c r="S45" s="276" t="n"/>
      <c r="T45" s="277" t="n"/>
      <c r="U45" s="272" t="n"/>
      <c r="V45" s="278" t="n"/>
      <c r="W45" s="279" t="n"/>
      <c r="X45" s="391">
        <f>(U45/($U$2/$U$3))</f>
        <v/>
      </c>
      <c r="Y45" s="391">
        <f>(V45/($V$2/$V$3))</f>
        <v/>
      </c>
      <c r="Z45" s="391">
        <f>(W45/($W$2/$W$3))</f>
        <v/>
      </c>
      <c r="AA45" s="391">
        <f>(Y45)/SQRT(((Z45+X45)/2))</f>
        <v/>
      </c>
      <c r="AB45" s="391">
        <f>IF(AA45&lt;3,"NINGUNO",IF(AA45&lt;=9,"LEVE O MODERADO","SEVERO"))</f>
        <v/>
      </c>
      <c r="AC45" s="280" t="n">
        <v>15</v>
      </c>
      <c r="AD45" s="280" t="n">
        <v>10</v>
      </c>
      <c r="AE45" s="280" t="n">
        <v>5</v>
      </c>
    </row>
    <row r="46" ht="15.75" customFormat="1" customHeight="1" s="301" thickBot="1">
      <c r="B46" s="265" t="inlineStr">
        <is>
          <t>M36</t>
        </is>
      </c>
      <c r="C46" s="265" t="n"/>
      <c r="D46" s="265" t="n"/>
      <c r="E46" s="265" t="n"/>
      <c r="F46" s="266" t="n"/>
      <c r="G46" s="400" t="n"/>
      <c r="H46" s="392" t="n"/>
      <c r="I46" s="400" t="n"/>
      <c r="J46" s="391" t="n"/>
      <c r="K46" s="271" t="n"/>
      <c r="L46" s="391" t="n"/>
      <c r="M46" s="271" t="n"/>
      <c r="N46" s="392" t="n"/>
      <c r="O46" s="392" t="n"/>
      <c r="P46" s="275" t="n"/>
      <c r="Q46" s="283" t="n"/>
      <c r="R46" s="392" t="n"/>
      <c r="S46" s="276" t="n"/>
      <c r="T46" s="277" t="n"/>
      <c r="U46" s="272" t="n"/>
      <c r="V46" s="278" t="n"/>
      <c r="W46" s="279" t="n"/>
      <c r="X46" s="391">
        <f>(U46/($U$2/$U$3))</f>
        <v/>
      </c>
      <c r="Y46" s="391">
        <f>(V46/($V$2/$V$3))</f>
        <v/>
      </c>
      <c r="Z46" s="391">
        <f>(W46/($W$2/$W$3))</f>
        <v/>
      </c>
      <c r="AA46" s="391">
        <f>(Y46)/SQRT(((Z46+X46)/2))</f>
        <v/>
      </c>
      <c r="AB46" s="391">
        <f>IF(AA46&lt;3,"NINGUNO",IF(AA46&lt;=9,"LEVE O MODERADO","SEVERO"))</f>
        <v/>
      </c>
      <c r="AC46" s="280" t="n">
        <v>50</v>
      </c>
      <c r="AD46" s="280" t="n">
        <v>2</v>
      </c>
      <c r="AE46" s="280" t="n">
        <v>2</v>
      </c>
    </row>
    <row r="47" ht="15.75" customFormat="1" customHeight="1" s="301" thickBot="1">
      <c r="B47" s="265" t="inlineStr">
        <is>
          <t>M37</t>
        </is>
      </c>
      <c r="C47" s="265" t="n"/>
      <c r="D47" s="265" t="n"/>
      <c r="E47" s="265" t="n"/>
      <c r="F47" s="266" t="n"/>
      <c r="G47" s="400" t="n"/>
      <c r="H47" s="392" t="n"/>
      <c r="I47" s="400" t="n"/>
      <c r="J47" s="391" t="n"/>
      <c r="K47" s="271" t="n"/>
      <c r="L47" s="272" t="n"/>
      <c r="M47" s="271" t="n"/>
      <c r="N47" s="392" t="n"/>
      <c r="O47" s="274" t="n"/>
      <c r="P47" s="275" t="n"/>
      <c r="Q47" s="283" t="n"/>
      <c r="R47" s="392" t="n"/>
      <c r="S47" s="276" t="n"/>
      <c r="T47" s="277" t="n"/>
      <c r="U47" s="272" t="n"/>
      <c r="V47" s="278" t="n"/>
      <c r="W47" s="279" t="n"/>
      <c r="X47" s="391">
        <f>(U47/($U$2/$U$3))</f>
        <v/>
      </c>
      <c r="Y47" s="391">
        <f>(V47/($V$2/$V$3))</f>
        <v/>
      </c>
      <c r="Z47" s="391">
        <f>(W47/($W$2/$W$3))</f>
        <v/>
      </c>
      <c r="AA47" s="391">
        <f>(Y47)/SQRT(((Z47+X47)/2))</f>
        <v/>
      </c>
      <c r="AB47" s="391">
        <f>IF(AA47&lt;3,"NINGUNO",IF(AA47&lt;=9,"LEVE O MODERADO","SEVERO"))</f>
        <v/>
      </c>
      <c r="AC47" s="280" t="n">
        <v>15</v>
      </c>
      <c r="AD47" s="280" t="n">
        <v>10</v>
      </c>
      <c r="AE47" s="280" t="n">
        <v>5</v>
      </c>
    </row>
    <row r="48" ht="15.75" customFormat="1" customHeight="1" s="301" thickBot="1">
      <c r="B48" s="265" t="inlineStr">
        <is>
          <t>M38</t>
        </is>
      </c>
      <c r="C48" s="265" t="n"/>
      <c r="D48" s="265" t="n"/>
      <c r="E48" s="265" t="n"/>
      <c r="F48" s="266" t="n"/>
      <c r="G48" s="400" t="n"/>
      <c r="H48" s="392" t="n"/>
      <c r="I48" s="400" t="n"/>
      <c r="J48" s="391" t="n"/>
      <c r="K48" s="271" t="n"/>
      <c r="L48" s="272" t="n"/>
      <c r="M48" s="271" t="n"/>
      <c r="N48" s="392" t="n"/>
      <c r="O48" s="274" t="n"/>
      <c r="P48" s="275" t="n"/>
      <c r="Q48" s="283" t="n"/>
      <c r="R48" s="392" t="n"/>
      <c r="S48" s="276" t="n"/>
      <c r="T48" s="277" t="n"/>
      <c r="U48" s="272" t="n"/>
      <c r="V48" s="278" t="n"/>
      <c r="W48" s="279" t="n"/>
      <c r="X48" s="391">
        <f>(U48/($U$2/$U$3))</f>
        <v/>
      </c>
      <c r="Y48" s="391">
        <f>(V48/($V$2/$V$3))</f>
        <v/>
      </c>
      <c r="Z48" s="391">
        <f>(W48/($W$2/$W$3))</f>
        <v/>
      </c>
      <c r="AA48" s="391">
        <f>(Y48)/SQRT(((Z48+X48)/2))</f>
        <v/>
      </c>
      <c r="AB48" s="391">
        <f>IF(AA48&lt;3,"NINGUNO",IF(AA48&lt;=9,"LEVE O MODERADO","SEVERO"))</f>
        <v/>
      </c>
      <c r="AC48" s="280" t="n">
        <v>5</v>
      </c>
      <c r="AD48" s="280" t="n">
        <v>5</v>
      </c>
      <c r="AE48" s="280" t="n">
        <v>4</v>
      </c>
    </row>
    <row r="49" ht="15.75" customFormat="1" customHeight="1" s="302" thickBot="1">
      <c r="B49" s="237" t="inlineStr">
        <is>
          <t>M39</t>
        </is>
      </c>
      <c r="C49" s="237" t="n"/>
      <c r="D49" s="237" t="n"/>
      <c r="E49" s="237" t="n"/>
      <c r="F49" s="220" t="n"/>
      <c r="G49" s="393" t="n"/>
      <c r="H49" s="394" t="n"/>
      <c r="I49" s="393" t="n"/>
      <c r="J49" s="396" t="n"/>
      <c r="K49" s="247" t="n"/>
      <c r="L49" s="396" t="n"/>
      <c r="M49" s="247" t="n"/>
      <c r="N49" s="394" t="n"/>
      <c r="O49" s="250" t="n"/>
      <c r="P49" s="234" t="n"/>
      <c r="Q49" s="258" t="n"/>
      <c r="R49" s="394" t="n"/>
      <c r="S49" s="254" t="n"/>
      <c r="T49" s="248" t="n"/>
      <c r="U49" s="246" t="n"/>
      <c r="V49" s="255" t="n"/>
      <c r="W49" s="238" t="n"/>
      <c r="X49" s="396">
        <f>(U49/($U$2/$U$3))</f>
        <v/>
      </c>
      <c r="Y49" s="396">
        <f>(V49/($V$2/$V$3))</f>
        <v/>
      </c>
      <c r="Z49" s="396">
        <f>(W49/($W$2/$W$3))</f>
        <v/>
      </c>
      <c r="AA49" s="396">
        <f>(Y49)/SQRT(((Z49+X49)/2))</f>
        <v/>
      </c>
      <c r="AB49" s="396">
        <f>IF(AA49&lt;3,"NINGUNO",IF(AA49&lt;=9,"LEVE O MODERADO","SEVERO"))</f>
        <v/>
      </c>
      <c r="AC49" s="253" t="inlineStr">
        <is>
          <t>-</t>
        </is>
      </c>
      <c r="AD49" s="253" t="inlineStr">
        <is>
          <t>-</t>
        </is>
      </c>
      <c r="AE49" s="253" t="inlineStr">
        <is>
          <t>-</t>
        </is>
      </c>
    </row>
    <row r="50" ht="15.75" customFormat="1" customHeight="1" s="302" thickBot="1">
      <c r="B50" s="237" t="inlineStr">
        <is>
          <t>M40</t>
        </is>
      </c>
      <c r="C50" s="237" t="n"/>
      <c r="D50" s="237" t="n"/>
      <c r="E50" s="237" t="n"/>
      <c r="F50" s="220" t="n"/>
      <c r="G50" s="393" t="n"/>
      <c r="H50" s="393" t="n"/>
      <c r="I50" s="393" t="n"/>
      <c r="J50" s="393" t="n"/>
      <c r="K50" s="393" t="n"/>
      <c r="L50" s="393" t="n"/>
      <c r="M50" s="393" t="n"/>
      <c r="N50" s="393" t="n"/>
      <c r="O50" s="409" t="n"/>
      <c r="P50" s="393" t="n"/>
      <c r="Q50" s="393" t="n"/>
      <c r="R50" s="393" t="n"/>
      <c r="S50" s="393" t="n"/>
      <c r="T50" s="393" t="n"/>
      <c r="U50" s="393" t="n"/>
      <c r="V50" s="393" t="n"/>
      <c r="W50" s="393" t="n"/>
      <c r="X50" s="393" t="inlineStr">
        <is>
          <t>-</t>
        </is>
      </c>
      <c r="Y50" s="393" t="inlineStr">
        <is>
          <t>-</t>
        </is>
      </c>
      <c r="Z50" s="393" t="inlineStr">
        <is>
          <t>-</t>
        </is>
      </c>
      <c r="AA50" s="393" t="inlineStr">
        <is>
          <t>-</t>
        </is>
      </c>
      <c r="AB50" s="393" t="inlineStr">
        <is>
          <t>-</t>
        </is>
      </c>
      <c r="AC50" s="393" t="inlineStr">
        <is>
          <t>-</t>
        </is>
      </c>
      <c r="AD50" s="393" t="inlineStr">
        <is>
          <t>-</t>
        </is>
      </c>
      <c r="AE50" s="393" t="inlineStr">
        <is>
          <t>-</t>
        </is>
      </c>
    </row>
    <row r="51" ht="15.75" customFormat="1" customHeight="1" s="301" thickBot="1">
      <c r="B51" s="265" t="inlineStr">
        <is>
          <t>M41</t>
        </is>
      </c>
      <c r="C51" s="265" t="n"/>
      <c r="D51" s="265" t="n"/>
      <c r="E51" s="265" t="n"/>
      <c r="F51" s="266" t="n"/>
      <c r="G51" s="400" t="n"/>
      <c r="H51" s="392" t="n"/>
      <c r="I51" s="400" t="n"/>
      <c r="J51" s="391" t="n"/>
      <c r="K51" s="271" t="n"/>
      <c r="L51" s="272" t="n"/>
      <c r="M51" s="271" t="n"/>
      <c r="N51" s="392" t="n"/>
      <c r="O51" s="274" t="n"/>
      <c r="P51" s="275" t="n"/>
      <c r="Q51" s="283" t="n"/>
      <c r="R51" s="392" t="n"/>
      <c r="S51" s="276" t="n"/>
      <c r="T51" s="277" t="n"/>
      <c r="U51" s="272" t="n"/>
      <c r="V51" s="278" t="n"/>
      <c r="W51" s="279" t="n"/>
      <c r="X51" s="391">
        <f>(U51/($U$2/$U$3))</f>
        <v/>
      </c>
      <c r="Y51" s="391">
        <f>(V51/($V$2/$V$3))</f>
        <v/>
      </c>
      <c r="Z51" s="391">
        <f>(W51/($W$2/$W$3))</f>
        <v/>
      </c>
      <c r="AA51" s="391">
        <f>(Y51)/SQRT(((Z51+X51)/2))</f>
        <v/>
      </c>
      <c r="AB51" s="391">
        <f>IF(AA51&lt;3,"NINGUNO",IF(AA51&lt;=9,"LEVE O MODERADO","SEVERO"))</f>
        <v/>
      </c>
      <c r="AC51" s="280" t="n">
        <v>5</v>
      </c>
      <c r="AD51" s="280" t="n">
        <v>3</v>
      </c>
      <c r="AE51" s="280" t="n">
        <v>2</v>
      </c>
    </row>
    <row r="52" ht="15.75" customFormat="1" customHeight="1" s="301" thickBot="1">
      <c r="B52" s="265" t="inlineStr">
        <is>
          <t>M42</t>
        </is>
      </c>
      <c r="C52" s="265" t="n"/>
      <c r="D52" s="265" t="n"/>
      <c r="E52" s="265" t="n"/>
      <c r="F52" s="266" t="n"/>
      <c r="G52" s="403" t="n"/>
      <c r="H52" s="392" t="n"/>
      <c r="I52" s="400" t="n"/>
      <c r="J52" s="391" t="n"/>
      <c r="K52" s="271" t="n"/>
      <c r="L52" s="272" t="n"/>
      <c r="M52" s="271" t="n"/>
      <c r="N52" s="392" t="n"/>
      <c r="O52" s="274" t="n"/>
      <c r="P52" s="275" t="n"/>
      <c r="Q52" s="283" t="n"/>
      <c r="R52" s="392" t="n"/>
      <c r="S52" s="276" t="n"/>
      <c r="T52" s="277" t="n"/>
      <c r="U52" s="272" t="n"/>
      <c r="V52" s="278" t="n"/>
      <c r="W52" s="279" t="n"/>
      <c r="X52" s="391" t="n">
        <v>0</v>
      </c>
      <c r="Y52" s="391">
        <f>(V52/($V$2/$V$3))</f>
        <v/>
      </c>
      <c r="Z52" s="391">
        <f>(W52/($W$2/$W$3))</f>
        <v/>
      </c>
      <c r="AA52" s="391">
        <f>(Y52)/SQRT(((Z52+X52)/2))</f>
        <v/>
      </c>
      <c r="AB52" s="391">
        <f>IF(AA52&lt;3,"NINGUNO",IF(AA52&lt;=9,"LEVE O MODERADO","SEVERO"))</f>
        <v/>
      </c>
      <c r="AC52" s="280" t="n">
        <v>60</v>
      </c>
      <c r="AD52" s="281" t="n">
        <v>0</v>
      </c>
      <c r="AE52" s="281" t="n">
        <v>0</v>
      </c>
    </row>
    <row r="53" ht="15.75" customFormat="1" customHeight="1" s="302" thickBot="1">
      <c r="B53" s="237" t="inlineStr">
        <is>
          <t>M43</t>
        </is>
      </c>
      <c r="C53" s="237" t="n"/>
      <c r="D53" s="237" t="n"/>
      <c r="E53" s="237" t="n"/>
      <c r="F53" s="220" t="n"/>
      <c r="G53" s="399" t="n"/>
      <c r="H53" s="394" t="n"/>
      <c r="I53" s="393" t="n"/>
      <c r="J53" s="396" t="n"/>
      <c r="K53" s="247" t="n"/>
      <c r="L53" s="246" t="n"/>
      <c r="M53" s="247" t="n"/>
      <c r="N53" s="394" t="n"/>
      <c r="O53" s="394" t="n"/>
      <c r="P53" s="234" t="n"/>
      <c r="Q53" s="258" t="n"/>
      <c r="R53" s="394" t="n"/>
      <c r="S53" s="254" t="n"/>
      <c r="T53" s="248" t="n"/>
      <c r="U53" s="246" t="n"/>
      <c r="V53" s="255" t="n"/>
      <c r="W53" s="238" t="n"/>
      <c r="X53" s="396" t="n">
        <v>0</v>
      </c>
      <c r="Y53" s="396">
        <f>(V53/($V$2/$V$3))</f>
        <v/>
      </c>
      <c r="Z53" s="396">
        <f>(W53/($W$2/$W$3))</f>
        <v/>
      </c>
      <c r="AA53" s="396">
        <f>(Y53)/SQRT(((Z53+X53)/2))</f>
        <v/>
      </c>
      <c r="AB53" s="396">
        <f>IF(AA53&lt;3,"NINGUNO",IF(AA53&lt;=9,"LEVE O MODERADO","SEVERO"))</f>
        <v/>
      </c>
      <c r="AC53" s="253" t="inlineStr">
        <is>
          <t>-</t>
        </is>
      </c>
      <c r="AD53" s="253" t="inlineStr">
        <is>
          <t>-</t>
        </is>
      </c>
      <c r="AE53" s="253" t="inlineStr">
        <is>
          <t>-</t>
        </is>
      </c>
    </row>
    <row r="54" ht="15.75" customFormat="1" customHeight="1" s="301" thickBot="1">
      <c r="B54" s="265" t="inlineStr">
        <is>
          <t>M44</t>
        </is>
      </c>
      <c r="C54" s="265" t="n"/>
      <c r="D54" s="265" t="n"/>
      <c r="E54" s="265" t="n"/>
      <c r="F54" s="266" t="n"/>
      <c r="G54" s="400" t="n"/>
      <c r="H54" s="392" t="n"/>
      <c r="I54" s="400" t="n"/>
      <c r="J54" s="391" t="n"/>
      <c r="K54" s="271" t="n"/>
      <c r="L54" s="391" t="n"/>
      <c r="M54" s="271" t="n"/>
      <c r="N54" s="392" t="n"/>
      <c r="O54" s="274" t="n"/>
      <c r="P54" s="275" t="n"/>
      <c r="Q54" s="283" t="n"/>
      <c r="R54" s="392" t="n"/>
      <c r="S54" s="276" t="n"/>
      <c r="T54" s="277" t="n"/>
      <c r="U54" s="272" t="n"/>
      <c r="V54" s="278" t="n"/>
      <c r="W54" s="279" t="n"/>
      <c r="X54" s="391" t="n">
        <v>0</v>
      </c>
      <c r="Y54" s="391">
        <f>(V54/($V$2/$V$3))</f>
        <v/>
      </c>
      <c r="Z54" s="391">
        <f>(W54/($W$2/$W$3))</f>
        <v/>
      </c>
      <c r="AA54" s="391">
        <f>(Y54)/SQRT(((Z54+X54)/2))</f>
        <v/>
      </c>
      <c r="AB54" s="391">
        <f>IF(AA54&lt;3,"NINGUNO",IF(AA54&lt;=9,"LEVE O MODERADO","SEVERO"))</f>
        <v/>
      </c>
      <c r="AC54" s="280" t="n">
        <v>200</v>
      </c>
      <c r="AD54" s="281" t="n">
        <v>0</v>
      </c>
      <c r="AE54" s="281" t="n">
        <v>0</v>
      </c>
    </row>
    <row r="55" ht="15.75" customFormat="1" customHeight="1" s="302" thickBot="1">
      <c r="B55" s="237" t="inlineStr">
        <is>
          <t>M45</t>
        </is>
      </c>
      <c r="C55" s="237" t="n"/>
      <c r="D55" s="237" t="n"/>
      <c r="E55" s="237" t="n"/>
      <c r="F55" s="220" t="n"/>
      <c r="G55" s="393" t="n"/>
      <c r="H55" s="394" t="n"/>
      <c r="I55" s="393" t="n"/>
      <c r="J55" s="396" t="n"/>
      <c r="K55" s="247" t="n"/>
      <c r="L55" s="396" t="n"/>
      <c r="M55" s="247" t="n"/>
      <c r="N55" s="394" t="n"/>
      <c r="O55" s="250" t="n"/>
      <c r="P55" s="234" t="n"/>
      <c r="Q55" s="258" t="n"/>
      <c r="R55" s="394" t="n"/>
      <c r="S55" s="254" t="n"/>
      <c r="T55" s="248" t="n"/>
      <c r="U55" s="246" t="n"/>
      <c r="V55" s="255" t="n"/>
      <c r="W55" s="238" t="n"/>
      <c r="X55" s="396" t="n">
        <v>0</v>
      </c>
      <c r="Y55" s="396">
        <f>(V55/($V$2/$V$3))</f>
        <v/>
      </c>
      <c r="Z55" s="396">
        <f>(W55/($W$2/$W$3))</f>
        <v/>
      </c>
      <c r="AA55" s="396">
        <f>(Y55)/SQRT(((Z55+X55)/2))</f>
        <v/>
      </c>
      <c r="AB55" s="396">
        <f>IF(AA55&lt;3,"NINGUNO",IF(AA55&lt;=9,"LEVE O MODERADO","SEVERO"))</f>
        <v/>
      </c>
      <c r="AC55" s="253" t="inlineStr">
        <is>
          <t>-</t>
        </is>
      </c>
      <c r="AD55" s="253" t="inlineStr">
        <is>
          <t>-</t>
        </is>
      </c>
      <c r="AE55" s="253" t="inlineStr">
        <is>
          <t>-</t>
        </is>
      </c>
    </row>
    <row r="56" ht="24.75" customFormat="1" customHeight="1" s="301" thickBot="1">
      <c r="B56" s="265" t="inlineStr">
        <is>
          <t>M46</t>
        </is>
      </c>
      <c r="C56" s="265" t="n"/>
      <c r="D56" s="265" t="n"/>
      <c r="E56" s="265" t="n"/>
      <c r="F56" s="266" t="n"/>
      <c r="G56" s="407" t="n"/>
      <c r="H56" s="406" t="n"/>
      <c r="I56" s="407" t="n"/>
      <c r="J56" s="406" t="n"/>
      <c r="K56" s="271" t="n"/>
      <c r="L56" s="272" t="n"/>
      <c r="M56" s="271" t="n"/>
      <c r="N56" s="406" t="n"/>
      <c r="O56" s="274" t="n"/>
      <c r="P56" s="275" t="n"/>
      <c r="Q56" s="283" t="n"/>
      <c r="R56" s="392" t="n"/>
      <c r="S56" s="276" t="n"/>
      <c r="T56" s="277" t="n"/>
      <c r="U56" s="272" t="n"/>
      <c r="V56" s="278" t="n"/>
      <c r="W56" s="279" t="n"/>
      <c r="X56" s="391">
        <f>(U56/($U$2/$U$3))</f>
        <v/>
      </c>
      <c r="Y56" s="391">
        <f>(V56/($V$2/$V$3))</f>
        <v/>
      </c>
      <c r="Z56" s="391">
        <f>(W56/($W$2/$W$3))</f>
        <v/>
      </c>
      <c r="AA56" s="391">
        <f>(Y56)/SQRT(((Z56+X56)/2))</f>
        <v/>
      </c>
      <c r="AB56" s="391">
        <f>IF(AA56&lt;3,"NINGUNO",IF(AA56&lt;=9,"LEVE O MODERADO","SEVERO"))</f>
        <v/>
      </c>
      <c r="AC56" s="280" t="n">
        <v>50</v>
      </c>
      <c r="AD56" s="280" t="n">
        <v>2</v>
      </c>
      <c r="AE56" s="280" t="n">
        <v>2</v>
      </c>
    </row>
    <row r="57" ht="24.75" customFormat="1" customHeight="1" s="301" thickBot="1">
      <c r="B57" s="265" t="inlineStr">
        <is>
          <t>M47</t>
        </is>
      </c>
      <c r="C57" s="265" t="n"/>
      <c r="D57" s="265" t="n"/>
      <c r="E57" s="265" t="n"/>
      <c r="F57" s="266" t="n"/>
      <c r="G57" s="400" t="n"/>
      <c r="H57" s="392" t="n"/>
      <c r="I57" s="400" t="n"/>
      <c r="J57" s="391" t="n"/>
      <c r="K57" s="271" t="n"/>
      <c r="L57" s="272" t="n"/>
      <c r="M57" s="271" t="n"/>
      <c r="N57" s="392" t="n"/>
      <c r="O57" s="392" t="n"/>
      <c r="P57" s="275" t="n"/>
      <c r="Q57" s="283" t="n"/>
      <c r="R57" s="392" t="n"/>
      <c r="S57" s="276" t="n"/>
      <c r="T57" s="277" t="n"/>
      <c r="U57" s="272" t="n"/>
      <c r="V57" s="278" t="n"/>
      <c r="W57" s="279" t="n"/>
      <c r="X57" s="391">
        <f>(U57/($U$2/$U$3))</f>
        <v/>
      </c>
      <c r="Y57" s="391">
        <f>(V57/($V$2/$V$3))</f>
        <v/>
      </c>
      <c r="Z57" s="391">
        <f>(W57/($W$2/$W$3))</f>
        <v/>
      </c>
      <c r="AA57" s="391">
        <f>(Y57)/SQRT(((Z57+X57)/2))</f>
        <v/>
      </c>
      <c r="AB57" s="391">
        <f>IF(AA57&lt;3,"NINGUNO",IF(AA57&lt;=9,"LEVE O MODERADO","SEVERO"))</f>
        <v/>
      </c>
      <c r="AC57" s="280" t="n">
        <v>120</v>
      </c>
      <c r="AD57" s="280" t="n">
        <v>5</v>
      </c>
      <c r="AE57" s="280" t="n">
        <v>5</v>
      </c>
    </row>
    <row r="58" ht="24.75" customFormat="1" customHeight="1" s="301" thickBot="1">
      <c r="B58" s="265" t="inlineStr">
        <is>
          <t>M48</t>
        </is>
      </c>
      <c r="C58" s="265" t="n"/>
      <c r="D58" s="265" t="n"/>
      <c r="E58" s="265" t="n"/>
      <c r="F58" s="266" t="n"/>
      <c r="G58" s="400" t="n"/>
      <c r="H58" s="392" t="n"/>
      <c r="I58" s="400" t="n"/>
      <c r="J58" s="391" t="n"/>
      <c r="K58" s="272" t="n"/>
      <c r="L58" s="272" t="n"/>
      <c r="M58" s="271" t="n"/>
      <c r="N58" s="392" t="n"/>
      <c r="O58" s="392" t="n"/>
      <c r="P58" s="275" t="n"/>
      <c r="Q58" s="283" t="n"/>
      <c r="R58" s="392" t="n"/>
      <c r="S58" s="276" t="n"/>
      <c r="T58" s="277" t="n"/>
      <c r="U58" s="272" t="n"/>
      <c r="V58" s="278" t="n"/>
      <c r="W58" s="279" t="n"/>
      <c r="X58" s="391">
        <f>(U58/($U$2/$U$3))</f>
        <v/>
      </c>
      <c r="Y58" s="391">
        <f>(V58/($V$2/$V$3))</f>
        <v/>
      </c>
      <c r="Z58" s="391">
        <f>(W58/($W$2/$W$3))</f>
        <v/>
      </c>
      <c r="AA58" s="391">
        <f>(Y58)/SQRT(((Z58+X58)/2))</f>
        <v/>
      </c>
      <c r="AB58" s="391">
        <f>IF(AA58&lt;3,"NINGUNO",IF(AA58&lt;=9,"LEVE O MODERADO","SEVERO"))</f>
        <v/>
      </c>
      <c r="AC58" s="280" t="n">
        <v>95</v>
      </c>
      <c r="AD58" s="280" t="n">
        <v>20</v>
      </c>
      <c r="AE58" s="280" t="n">
        <v>2</v>
      </c>
    </row>
    <row r="59" ht="24.6" customFormat="1" customHeight="1" s="301" thickBot="1">
      <c r="B59" s="265" t="inlineStr">
        <is>
          <t>M49</t>
        </is>
      </c>
      <c r="C59" s="265" t="n"/>
      <c r="D59" s="265" t="n"/>
      <c r="E59" s="265" t="n"/>
      <c r="F59" s="266" t="n"/>
      <c r="G59" s="400" t="n"/>
      <c r="H59" s="392" t="n"/>
      <c r="I59" s="400" t="n"/>
      <c r="J59" s="391" t="n"/>
      <c r="K59" s="271" t="n"/>
      <c r="L59" s="272" t="n"/>
      <c r="M59" s="271" t="n"/>
      <c r="N59" s="392" t="n"/>
      <c r="O59" s="392" t="n"/>
      <c r="P59" s="275" t="n"/>
      <c r="Q59" s="402" t="n"/>
      <c r="R59" s="274" t="n"/>
      <c r="S59" s="276" t="n"/>
      <c r="T59" s="277" t="n"/>
      <c r="U59" s="272" t="n"/>
      <c r="V59" s="278" t="n"/>
      <c r="W59" s="279" t="n"/>
      <c r="X59" s="391">
        <f>(U59/($U$2/$U$3))</f>
        <v/>
      </c>
      <c r="Y59" s="391">
        <f>(V59/($V$2/$V$3))</f>
        <v/>
      </c>
      <c r="Z59" s="391">
        <f>(W59/($W$2/$W$3))</f>
        <v/>
      </c>
      <c r="AA59" s="391">
        <f>(Y59)/SQRT(((Z59+X59)/2))</f>
        <v/>
      </c>
      <c r="AB59" s="391">
        <f>IF(AA59&lt;3,"NINGUNO",IF(AA59&lt;=9,"LEVE O MODERADO","SEVERO"))</f>
        <v/>
      </c>
      <c r="AC59" s="280" t="n">
        <v>5</v>
      </c>
      <c r="AD59" s="280" t="n">
        <v>2</v>
      </c>
      <c r="AE59" s="280" t="n">
        <v>2</v>
      </c>
    </row>
    <row r="60" ht="24.75" customFormat="1" customHeight="1" s="301" thickBot="1">
      <c r="B60" s="265" t="inlineStr">
        <is>
          <t>M50</t>
        </is>
      </c>
      <c r="C60" s="265" t="n"/>
      <c r="D60" s="265" t="n"/>
      <c r="E60" s="265" t="n"/>
      <c r="F60" s="266" t="n"/>
      <c r="G60" s="400" t="n"/>
      <c r="H60" s="392" t="n"/>
      <c r="I60" s="400" t="n"/>
      <c r="J60" s="391" t="n"/>
      <c r="K60" s="271" t="n"/>
      <c r="L60" s="272" t="n"/>
      <c r="M60" s="271" t="n"/>
      <c r="N60" s="392" t="n"/>
      <c r="O60" s="274" t="n"/>
      <c r="P60" s="275" t="n"/>
      <c r="Q60" s="402" t="n"/>
      <c r="R60" s="274" t="n"/>
      <c r="S60" s="276" t="n"/>
      <c r="T60" s="277" t="n"/>
      <c r="U60" s="272" t="n"/>
      <c r="V60" s="278" t="n"/>
      <c r="W60" s="279" t="n"/>
      <c r="X60" s="391">
        <f>(U60/($U$2/$U$3))</f>
        <v/>
      </c>
      <c r="Y60" s="391">
        <f>(V60/($V$2/$V$3))</f>
        <v/>
      </c>
      <c r="Z60" s="391">
        <f>(W60/($W$2/$W$3))</f>
        <v/>
      </c>
      <c r="AA60" s="391">
        <f>(Y60)/SQRT(((Z60+X60)/2))</f>
        <v/>
      </c>
      <c r="AB60" s="391">
        <f>IF(AA60&lt;3,"NINGUNO",IF(AA60&lt;=9,"LEVE O MODERADO","SEVERO"))</f>
        <v/>
      </c>
      <c r="AC60" s="280" t="n">
        <v>5</v>
      </c>
      <c r="AD60" s="279" t="n">
        <v>0</v>
      </c>
      <c r="AE60" s="279" t="n">
        <v>0</v>
      </c>
    </row>
    <row r="61" ht="24.75" customFormat="1" customHeight="1" s="301" thickBot="1">
      <c r="B61" s="265" t="inlineStr">
        <is>
          <t>M51</t>
        </is>
      </c>
      <c r="C61" s="265" t="n"/>
      <c r="D61" s="265" t="n"/>
      <c r="E61" s="265" t="n"/>
      <c r="F61" s="266" t="n"/>
      <c r="G61" s="400" t="n"/>
      <c r="H61" s="392" t="n"/>
      <c r="I61" s="400" t="n"/>
      <c r="J61" s="391" t="n"/>
      <c r="K61" s="271" t="n"/>
      <c r="L61" s="272" t="n"/>
      <c r="M61" s="271" t="n"/>
      <c r="N61" s="392" t="n"/>
      <c r="O61" s="274" t="n"/>
      <c r="P61" s="275" t="n"/>
      <c r="Q61" s="283" t="n"/>
      <c r="R61" s="274" t="n"/>
      <c r="S61" s="276" t="n"/>
      <c r="T61" s="277" t="n"/>
      <c r="U61" s="272" t="n"/>
      <c r="V61" s="278" t="n"/>
      <c r="W61" s="279" t="n"/>
      <c r="X61" s="391">
        <f>(U61/($U$2/$U$3))</f>
        <v/>
      </c>
      <c r="Y61" s="391">
        <f>(V61/($V$2/$V$3))</f>
        <v/>
      </c>
      <c r="Z61" s="391">
        <f>(W61/($W$2/$W$3))</f>
        <v/>
      </c>
      <c r="AA61" s="391">
        <f>(Y61)/SQRT(((Z61+X61)/2))</f>
        <v/>
      </c>
      <c r="AB61" s="391">
        <f>IF(AA61&lt;3,"NINGUNO",IF(AA61&lt;=9,"LEVE O MODERADO","SEVERO"))</f>
        <v/>
      </c>
      <c r="AC61" s="280" t="n">
        <v>30</v>
      </c>
      <c r="AD61" s="280" t="n">
        <v>2</v>
      </c>
      <c r="AE61" s="280" t="n">
        <v>2</v>
      </c>
    </row>
    <row r="62" ht="24.75" customFormat="1" customHeight="1" s="301" thickBot="1">
      <c r="B62" s="265" t="inlineStr">
        <is>
          <t>M52</t>
        </is>
      </c>
      <c r="C62" s="265" t="n"/>
      <c r="D62" s="265" t="n"/>
      <c r="E62" s="265" t="n"/>
      <c r="F62" s="266" t="n"/>
      <c r="G62" s="400" t="n"/>
      <c r="H62" s="392" t="n"/>
      <c r="I62" s="400" t="n"/>
      <c r="J62" s="391" t="n"/>
      <c r="K62" s="271" t="n"/>
      <c r="L62" s="391" t="n"/>
      <c r="M62" s="271" t="n"/>
      <c r="N62" s="392" t="n"/>
      <c r="O62" s="274" t="n"/>
      <c r="P62" s="275" t="n"/>
      <c r="Q62" s="283" t="n"/>
      <c r="R62" s="274" t="n"/>
      <c r="S62" s="276" t="n"/>
      <c r="T62" s="277" t="n"/>
      <c r="U62" s="272" t="n"/>
      <c r="V62" s="278" t="n"/>
      <c r="W62" s="279" t="n"/>
      <c r="X62" s="391">
        <f>(U62/($U$2/$U$3))</f>
        <v/>
      </c>
      <c r="Y62" s="391">
        <f>(V62/($V$2/$V$3))</f>
        <v/>
      </c>
      <c r="Z62" s="391">
        <f>(W62/($W$2/$W$3))</f>
        <v/>
      </c>
      <c r="AA62" s="391">
        <f>(Y62)/SQRT(((Z62+X62)/2))</f>
        <v/>
      </c>
      <c r="AB62" s="391">
        <f>IF(AA62&lt;3,"NINGUNO",IF(AA62&lt;=9,"LEVE O MODERADO","SEVERO"))</f>
        <v/>
      </c>
      <c r="AC62" s="280" t="n">
        <v>15</v>
      </c>
      <c r="AD62" s="280" t="n">
        <v>2</v>
      </c>
      <c r="AE62" s="280" t="n">
        <v>1</v>
      </c>
    </row>
    <row r="63" ht="24.75" customFormat="1" customHeight="1" s="301" thickBot="1">
      <c r="B63" s="265" t="inlineStr">
        <is>
          <t>M53</t>
        </is>
      </c>
      <c r="C63" s="265" t="n"/>
      <c r="D63" s="265" t="n"/>
      <c r="E63" s="265" t="n"/>
      <c r="F63" s="266" t="n"/>
      <c r="G63" s="400" t="n"/>
      <c r="H63" s="392" t="n"/>
      <c r="I63" s="400" t="n"/>
      <c r="J63" s="391" t="n"/>
      <c r="K63" s="271" t="n"/>
      <c r="L63" s="272" t="n"/>
      <c r="M63" s="271" t="n"/>
      <c r="N63" s="392" t="n"/>
      <c r="O63" s="392" t="n"/>
      <c r="P63" s="275" t="n"/>
      <c r="Q63" s="283" t="n"/>
      <c r="R63" s="392" t="n"/>
      <c r="S63" s="276" t="n"/>
      <c r="T63" s="277" t="n"/>
      <c r="U63" s="272" t="n"/>
      <c r="V63" s="278" t="n"/>
      <c r="W63" s="279" t="n"/>
      <c r="X63" s="391">
        <f>(U63/($U$2/$U$3))</f>
        <v/>
      </c>
      <c r="Y63" s="391">
        <f>(V63/($V$2/$V$3))</f>
        <v/>
      </c>
      <c r="Z63" s="391">
        <f>(W63/($W$2/$W$3))</f>
        <v/>
      </c>
      <c r="AA63" s="391">
        <f>(Y63)/SQRT(((Z63+X63)/2))</f>
        <v/>
      </c>
      <c r="AB63" s="391">
        <f>IF(AA63&lt;3,"NINGUNO",IF(AA63&lt;=9,"LEVE O MODERADO","SEVERO"))</f>
        <v/>
      </c>
      <c r="AC63" s="280" t="n">
        <v>75</v>
      </c>
      <c r="AD63" s="280" t="n">
        <v>5</v>
      </c>
      <c r="AE63" s="280" t="n">
        <v>5</v>
      </c>
    </row>
    <row r="64" ht="24.75" customFormat="1" customHeight="1" s="301" thickBot="1">
      <c r="B64" s="265" t="inlineStr">
        <is>
          <t>M54</t>
        </is>
      </c>
      <c r="C64" s="265" t="n"/>
      <c r="D64" s="265" t="n"/>
      <c r="E64" s="265" t="n"/>
      <c r="F64" s="266" t="n"/>
      <c r="G64" s="410" t="n"/>
      <c r="H64" s="392" t="n"/>
      <c r="I64" s="400" t="n"/>
      <c r="J64" s="404" t="n"/>
      <c r="K64" s="272" t="n"/>
      <c r="L64" s="272" t="n"/>
      <c r="M64" s="271" t="n"/>
      <c r="N64" s="392" t="n"/>
      <c r="O64" s="274" t="n"/>
      <c r="P64" s="275" t="n"/>
      <c r="Q64" s="283" t="n"/>
      <c r="R64" s="274" t="n"/>
      <c r="S64" s="276" t="n"/>
      <c r="T64" s="277" t="n"/>
      <c r="U64" s="272" t="n"/>
      <c r="V64" s="278" t="n"/>
      <c r="W64" s="279" t="n"/>
      <c r="X64" s="391">
        <f>(U64/($U$2/$U$3))</f>
        <v/>
      </c>
      <c r="Y64" s="391">
        <f>(V64/($V$2/$V$3))</f>
        <v/>
      </c>
      <c r="Z64" s="391">
        <f>(W64/($W$2/$W$3))</f>
        <v/>
      </c>
      <c r="AA64" s="391">
        <f>(Y64)/SQRT(((Z64+X64)/2))</f>
        <v/>
      </c>
      <c r="AB64" s="391">
        <f>IF(AA64&lt;3,"NINGUNO",IF(AA64&lt;=9,"LEVE O MODERADO","SEVERO"))</f>
        <v/>
      </c>
      <c r="AC64" s="280" t="n">
        <v>35</v>
      </c>
      <c r="AD64" s="280" t="n">
        <v>10</v>
      </c>
      <c r="AE64" s="280" t="n">
        <v>5</v>
      </c>
    </row>
    <row r="65" ht="24.75" customFormat="1" customHeight="1" s="302" thickBot="1">
      <c r="B65" s="237" t="inlineStr">
        <is>
          <t>M55</t>
        </is>
      </c>
      <c r="C65" s="237" t="n"/>
      <c r="D65" s="237" t="n"/>
      <c r="E65" s="237" t="n"/>
      <c r="F65" s="220" t="n"/>
      <c r="G65" s="411" t="n"/>
      <c r="H65" s="412" t="n"/>
      <c r="I65" s="413" t="n"/>
      <c r="J65" s="398" t="n"/>
      <c r="K65" s="247" t="n"/>
      <c r="L65" s="246" t="n"/>
      <c r="M65" s="247" t="n"/>
      <c r="N65" s="394" t="n"/>
      <c r="O65" s="394" t="n"/>
      <c r="P65" s="234" t="n"/>
      <c r="Q65" s="258" t="n"/>
      <c r="R65" s="250" t="n"/>
      <c r="S65" s="254" t="n"/>
      <c r="T65" s="248" t="n"/>
      <c r="U65" s="246" t="n"/>
      <c r="V65" s="255" t="n"/>
      <c r="W65" s="238" t="n"/>
      <c r="X65" s="396">
        <f>(U65/($U$2/$U$3))</f>
        <v/>
      </c>
      <c r="Y65" s="396">
        <f>(V65/($V$2/$V$3))</f>
        <v/>
      </c>
      <c r="Z65" s="396">
        <f>(W65/($W$2/$W$3))</f>
        <v/>
      </c>
      <c r="AA65" s="396">
        <f>(Y65)/SQRT(((Z65+X65)/2))</f>
        <v/>
      </c>
      <c r="AB65" s="396">
        <f>IF(AA65&lt;3,"NINGUNO",IF(AA65&lt;=9,"LEVE O MODERADO","SEVERO"))</f>
        <v/>
      </c>
      <c r="AC65" s="253" t="inlineStr">
        <is>
          <t>-</t>
        </is>
      </c>
      <c r="AD65" s="253" t="inlineStr">
        <is>
          <t>-</t>
        </is>
      </c>
      <c r="AE65" s="253" t="inlineStr">
        <is>
          <t>-</t>
        </is>
      </c>
    </row>
    <row r="66" ht="24.75" customFormat="1" customHeight="1" s="302" thickBot="1">
      <c r="B66" s="237" t="inlineStr">
        <is>
          <t>M56</t>
        </is>
      </c>
      <c r="C66" s="237" t="n"/>
      <c r="D66" s="237" t="n"/>
      <c r="E66" s="237" t="n"/>
      <c r="F66" s="220" t="n"/>
      <c r="G66" s="411" t="n"/>
      <c r="H66" s="412" t="n"/>
      <c r="I66" s="413" t="n"/>
      <c r="J66" s="398" t="n"/>
      <c r="K66" s="247" t="n"/>
      <c r="L66" s="396" t="n"/>
      <c r="M66" s="247" t="n"/>
      <c r="N66" s="394" t="n"/>
      <c r="O66" s="250" t="n"/>
      <c r="P66" s="235" t="n"/>
      <c r="Q66" s="397" t="n"/>
      <c r="R66" s="394" t="n"/>
      <c r="S66" s="254" t="n"/>
      <c r="T66" s="248" t="n"/>
      <c r="U66" s="246" t="n"/>
      <c r="V66" s="255" t="n"/>
      <c r="W66" s="238" t="n"/>
      <c r="X66" s="396">
        <f>(U66/($U$2/$U$3))</f>
        <v/>
      </c>
      <c r="Y66" s="396">
        <f>(V66/($V$2/$V$3))</f>
        <v/>
      </c>
      <c r="Z66" s="396">
        <f>(W66/($W$2/$W$3))</f>
        <v/>
      </c>
      <c r="AA66" s="396">
        <f>(Y66)/SQRT(((Z66+X66)/2))</f>
        <v/>
      </c>
      <c r="AB66" s="396">
        <f>IF(AA66&lt;3,"NINGUNO",IF(AA66&lt;=9,"LEVE O MODERADO","SEVERO"))</f>
        <v/>
      </c>
      <c r="AC66" s="253" t="inlineStr">
        <is>
          <t>-</t>
        </is>
      </c>
      <c r="AD66" s="253" t="inlineStr">
        <is>
          <t>-</t>
        </is>
      </c>
      <c r="AE66" s="253" t="inlineStr">
        <is>
          <t>-</t>
        </is>
      </c>
    </row>
    <row r="67" ht="24.75" customFormat="1" customHeight="1" s="302" thickBot="1">
      <c r="B67" s="237" t="inlineStr">
        <is>
          <t>M57</t>
        </is>
      </c>
      <c r="C67" s="237" t="n"/>
      <c r="D67" s="237" t="n"/>
      <c r="E67" s="237" t="n"/>
      <c r="F67" s="220" t="n"/>
      <c r="G67" s="411" t="n"/>
      <c r="H67" s="412" t="n"/>
      <c r="I67" s="413" t="n"/>
      <c r="J67" s="398" t="n"/>
      <c r="K67" s="247" t="n"/>
      <c r="L67" s="246" t="n"/>
      <c r="M67" s="247" t="n"/>
      <c r="N67" s="394" t="n"/>
      <c r="O67" s="250" t="n"/>
      <c r="P67" s="235" t="n"/>
      <c r="Q67" s="394" t="n"/>
      <c r="R67" s="394" t="n"/>
      <c r="S67" s="254" t="n"/>
      <c r="T67" s="248" t="n"/>
      <c r="U67" s="246" t="n"/>
      <c r="V67" s="255" t="n"/>
      <c r="W67" s="238" t="n"/>
      <c r="X67" s="396">
        <f>(U67/($U$2/$U$3))</f>
        <v/>
      </c>
      <c r="Y67" s="396">
        <f>(V67/($V$2/$V$3))</f>
        <v/>
      </c>
      <c r="Z67" s="396">
        <f>(W67/($W$2/$W$3))</f>
        <v/>
      </c>
      <c r="AA67" s="396">
        <f>(Y67)/SQRT(((Z67+X67)/2))</f>
        <v/>
      </c>
      <c r="AB67" s="396">
        <f>IF(AA67&lt;3,"NINGUNO",IF(AA67&lt;=9,"LEVE O MODERADO","SEVERO"))</f>
        <v/>
      </c>
      <c r="AC67" s="253" t="inlineStr">
        <is>
          <t>-</t>
        </is>
      </c>
      <c r="AD67" s="253" t="inlineStr">
        <is>
          <t>-</t>
        </is>
      </c>
      <c r="AE67" s="253" t="inlineStr">
        <is>
          <t>-</t>
        </is>
      </c>
    </row>
    <row r="68" ht="24.75" customFormat="1" customHeight="1" s="301" thickBot="1">
      <c r="B68" s="265" t="inlineStr">
        <is>
          <t>M58</t>
        </is>
      </c>
      <c r="C68" s="265" t="n"/>
      <c r="D68" s="265" t="n"/>
      <c r="E68" s="265" t="n"/>
      <c r="F68" s="266" t="n"/>
      <c r="G68" s="410" t="n"/>
      <c r="H68" s="414" t="n"/>
      <c r="I68" s="415" t="n"/>
      <c r="J68" s="404" t="n"/>
      <c r="K68" s="271" t="n"/>
      <c r="L68" s="272" t="n"/>
      <c r="M68" s="271" t="n"/>
      <c r="N68" s="392" t="n"/>
      <c r="O68" s="274" t="n"/>
      <c r="P68" s="289" t="n"/>
      <c r="Q68" s="402" t="n"/>
      <c r="R68" s="392" t="n"/>
      <c r="S68" s="276" t="n"/>
      <c r="T68" s="277" t="n"/>
      <c r="U68" s="272" t="n"/>
      <c r="V68" s="278" t="n"/>
      <c r="W68" s="279" t="n"/>
      <c r="X68" s="391">
        <f>(U68/($U$2/$U$3))</f>
        <v/>
      </c>
      <c r="Y68" s="391">
        <f>(V68/($V$2/$V$3))</f>
        <v/>
      </c>
      <c r="Z68" s="391">
        <f>(W68/($W$2/$W$3))</f>
        <v/>
      </c>
      <c r="AA68" s="391">
        <f>(Y68)/SQRT(((Z68+X68)/2))</f>
        <v/>
      </c>
      <c r="AB68" s="391">
        <f>IF(AA68&lt;3,"NINGUNO",IF(AA68&lt;=9,"LEVE O MODERADO","SEVERO"))</f>
        <v/>
      </c>
      <c r="AC68" s="280" t="n">
        <v>25</v>
      </c>
      <c r="AD68" s="280" t="n">
        <v>2</v>
      </c>
      <c r="AE68" s="280" t="n">
        <v>2</v>
      </c>
    </row>
    <row r="69" ht="24.75" customFormat="1" customHeight="1" s="302" thickBot="1">
      <c r="B69" s="237" t="inlineStr">
        <is>
          <t>M59</t>
        </is>
      </c>
      <c r="C69" s="237" t="n"/>
      <c r="D69" s="237" t="n"/>
      <c r="E69" s="237" t="n"/>
      <c r="F69" s="220" t="n"/>
      <c r="G69" s="411" t="n"/>
      <c r="H69" s="412" t="n"/>
      <c r="I69" s="413" t="n"/>
      <c r="J69" s="398" t="n"/>
      <c r="K69" s="246" t="n"/>
      <c r="L69" s="246" t="n"/>
      <c r="M69" s="247" t="n"/>
      <c r="N69" s="394" t="n"/>
      <c r="O69" s="250" t="n"/>
      <c r="P69" s="235" t="n"/>
      <c r="Q69" s="397" t="n"/>
      <c r="R69" s="394" t="n"/>
      <c r="S69" s="254" t="n"/>
      <c r="T69" s="248" t="n"/>
      <c r="U69" s="246" t="n"/>
      <c r="V69" s="255" t="n"/>
      <c r="W69" s="238" t="n"/>
      <c r="X69" s="396">
        <f>(U69/($U$2/$U$3))</f>
        <v/>
      </c>
      <c r="Y69" s="396">
        <f>(V69/($V$2/$V$3))</f>
        <v/>
      </c>
      <c r="Z69" s="396">
        <f>(W69/($W$2/$W$3))</f>
        <v/>
      </c>
      <c r="AA69" s="396">
        <f>(Y69)/SQRT(((Z69+X69)/2))</f>
        <v/>
      </c>
      <c r="AB69" s="396">
        <f>IF(AA69&lt;3,"NINGUNO",IF(AA69&lt;=9,"LEVE O MODERADO","SEVERO"))</f>
        <v/>
      </c>
      <c r="AC69" s="253" t="inlineStr">
        <is>
          <t>-</t>
        </is>
      </c>
      <c r="AD69" s="253" t="inlineStr">
        <is>
          <t>-</t>
        </is>
      </c>
      <c r="AE69" s="253" t="inlineStr">
        <is>
          <t>-</t>
        </is>
      </c>
    </row>
    <row r="70" ht="24.75" customFormat="1" customHeight="1" s="301" thickBot="1">
      <c r="B70" s="265" t="inlineStr">
        <is>
          <t>M60</t>
        </is>
      </c>
      <c r="C70" s="265" t="n"/>
      <c r="D70" s="265" t="n"/>
      <c r="E70" s="265" t="n"/>
      <c r="F70" s="266" t="n"/>
      <c r="G70" s="410" t="n"/>
      <c r="H70" s="414" t="n"/>
      <c r="I70" s="415" t="n"/>
      <c r="J70" s="404" t="n"/>
      <c r="K70" s="272" t="n"/>
      <c r="L70" s="272" t="n"/>
      <c r="M70" s="271" t="n"/>
      <c r="N70" s="392" t="n"/>
      <c r="O70" s="274" t="n"/>
      <c r="P70" s="289" t="n"/>
      <c r="Q70" s="402" t="n"/>
      <c r="R70" s="392" t="n"/>
      <c r="S70" s="276" t="n"/>
      <c r="T70" s="277" t="n"/>
      <c r="U70" s="272" t="n"/>
      <c r="V70" s="278" t="n"/>
      <c r="W70" s="279" t="n"/>
      <c r="X70" s="391">
        <f>(U70/($U$2/$U$3))</f>
        <v/>
      </c>
      <c r="Y70" s="391">
        <f>(V70/($V$2/$V$3))</f>
        <v/>
      </c>
      <c r="Z70" s="391">
        <f>(W70/($W$2/$W$3))</f>
        <v/>
      </c>
      <c r="AA70" s="391">
        <f>(Y70)/SQRT(((Z70+X70)/2))</f>
        <v/>
      </c>
      <c r="AB70" s="391">
        <f>IF(AA70&lt;3,"NINGUNO",IF(AA70&lt;=9,"LEVE O MODERADO","SEVERO"))</f>
        <v/>
      </c>
      <c r="AC70" s="280" t="n">
        <v>10</v>
      </c>
      <c r="AD70" s="280" t="n">
        <v>5</v>
      </c>
      <c r="AE70" s="280" t="n">
        <v>4</v>
      </c>
    </row>
    <row r="71">
      <c r="B71" s="416" t="inlineStr">
        <is>
          <t>*No se realiza metodo microbiológico requerido para aguas catergia 3 - ECAS. Metodo utilizado para agua subterránea -  Siembra en placa.</t>
        </is>
      </c>
      <c r="C71" s="417" t="n"/>
      <c r="D71" s="417" t="n"/>
      <c r="E71" s="417" t="n"/>
      <c r="F71" s="417" t="n"/>
      <c r="G71" s="417" t="n"/>
      <c r="H71" s="417" t="n"/>
      <c r="I71" s="417" t="n"/>
      <c r="J71" s="417" t="n"/>
      <c r="K71" s="417" t="n"/>
      <c r="L71" s="417" t="n"/>
      <c r="M71" s="417" t="n"/>
      <c r="N71" s="417" t="n"/>
      <c r="O71" s="417" t="n"/>
      <c r="P71" s="417" t="n"/>
      <c r="Q71" s="381" t="n"/>
      <c r="R71" s="299" t="n"/>
      <c r="S71" s="318" t="n"/>
      <c r="T71" s="318" t="n"/>
      <c r="U71" s="318" t="n"/>
      <c r="V71" s="318" t="n"/>
      <c r="W71" s="318" t="n"/>
      <c r="X71" s="318" t="n"/>
      <c r="Y71" s="318" t="n"/>
      <c r="Z71" s="318" t="n"/>
      <c r="AA71" s="318" t="n"/>
      <c r="AB71" s="318" t="n"/>
      <c r="AC71" s="318" t="n"/>
      <c r="AD71" s="318" t="n"/>
      <c r="AE71" s="318" t="n"/>
    </row>
    <row r="72" ht="24.75" customHeight="1" thickBot="1">
      <c r="B72" s="317" t="inlineStr">
        <is>
          <t>+ No se realizó análisis. Pozo inaccesible</t>
        </is>
      </c>
      <c r="N72" s="240" t="n"/>
      <c r="O72" s="305" t="n"/>
      <c r="P72" s="317" t="n"/>
      <c r="Q72" s="317" t="n"/>
      <c r="R72" s="317" t="n"/>
      <c r="S72" s="318" t="n"/>
      <c r="T72" s="318" t="n"/>
      <c r="U72" s="318" t="n"/>
      <c r="V72" s="318" t="n"/>
      <c r="W72" s="318" t="n"/>
      <c r="X72" s="318" t="n"/>
      <c r="Y72" s="318" t="n"/>
      <c r="Z72" s="318" t="n"/>
      <c r="AA72" s="318" t="n"/>
      <c r="AB72" s="318" t="n"/>
      <c r="AC72" s="318" t="n"/>
      <c r="AD72" s="318" t="n"/>
      <c r="AE72" s="318" t="n"/>
    </row>
    <row r="73" ht="15.75" customHeight="1" thickBot="1">
      <c r="B73" s="418" t="n"/>
      <c r="C73" s="317" t="n"/>
      <c r="D73" s="317" t="n"/>
      <c r="E73" s="317" t="n"/>
      <c r="F73" s="317" t="n"/>
      <c r="G73" s="243" t="n"/>
      <c r="H73" s="243" t="n"/>
      <c r="I73" s="243" t="n"/>
      <c r="J73" s="243" t="n"/>
      <c r="K73" s="243" t="n"/>
      <c r="L73" s="243" t="n"/>
      <c r="M73" s="243" t="n"/>
      <c r="N73" s="244" t="n"/>
      <c r="O73" s="306" t="n"/>
      <c r="P73" s="243" t="n"/>
      <c r="Q73" s="243" t="n"/>
      <c r="R73" s="243" t="n"/>
      <c r="S73" s="307" t="n"/>
      <c r="T73" s="307" t="n"/>
      <c r="U73" s="307" t="n"/>
      <c r="V73" s="307" t="n"/>
      <c r="W73" s="307" t="n"/>
      <c r="X73" s="307" t="n"/>
      <c r="Y73" s="307" t="n"/>
      <c r="Z73" s="307" t="n"/>
      <c r="AA73" s="307" t="n"/>
      <c r="AB73" s="307" t="n"/>
      <c r="AC73" s="306" t="n">
        <v>37</v>
      </c>
      <c r="AD73" s="306" t="n">
        <v>23</v>
      </c>
      <c r="AE73" s="306" t="n">
        <v>22</v>
      </c>
    </row>
    <row r="74">
      <c r="B74" s="318" t="n"/>
      <c r="C74" s="318" t="n"/>
      <c r="D74" s="318" t="n"/>
      <c r="E74" s="318" t="n"/>
      <c r="F74" s="318" t="n"/>
      <c r="G74" s="319">
        <f>(G73*100)/39</f>
        <v/>
      </c>
      <c r="H74" s="319">
        <f>(H73*100)/39</f>
        <v/>
      </c>
      <c r="I74" s="319">
        <f>(I73*100)/39</f>
        <v/>
      </c>
      <c r="J74" s="319">
        <f>(J73*100)/39</f>
        <v/>
      </c>
      <c r="K74" s="319">
        <f>(K73*100)/39</f>
        <v/>
      </c>
      <c r="L74" s="319">
        <f>(L73*100)/39</f>
        <v/>
      </c>
      <c r="M74" s="319">
        <f>(M73*100)/39</f>
        <v/>
      </c>
      <c r="N74" s="319">
        <f>(N73*100)/39</f>
        <v/>
      </c>
      <c r="O74" s="319">
        <f>(O73*100)/39</f>
        <v/>
      </c>
      <c r="P74" s="319">
        <f>(P73*100)/39</f>
        <v/>
      </c>
      <c r="Q74" s="319">
        <f>(Q73*100)/39</f>
        <v/>
      </c>
      <c r="R74" s="319">
        <f>(R73*100)/39</f>
        <v/>
      </c>
      <c r="S74" s="319">
        <f>(S73*100)/39</f>
        <v/>
      </c>
      <c r="T74" s="319">
        <f>(T73*100)/39</f>
        <v/>
      </c>
      <c r="U74" s="319">
        <f>(U73*100)/39</f>
        <v/>
      </c>
      <c r="V74" s="319">
        <f>(V73*100)/39</f>
        <v/>
      </c>
      <c r="W74" s="319">
        <f>(W73*100)/39</f>
        <v/>
      </c>
      <c r="X74" s="319">
        <f>(X73*100)/39</f>
        <v/>
      </c>
      <c r="Y74" s="319">
        <f>(Y73*100)/39</f>
        <v/>
      </c>
      <c r="Z74" s="319">
        <f>(Z73*100)/39</f>
        <v/>
      </c>
      <c r="AA74" s="319">
        <f>(AA73*100)/39</f>
        <v/>
      </c>
      <c r="AB74" s="319">
        <f>(AB73*100)/39</f>
        <v/>
      </c>
      <c r="AC74" s="319">
        <f>(AC73*100)/37</f>
        <v/>
      </c>
      <c r="AD74" s="319">
        <f>(AD73*100)/37</f>
        <v/>
      </c>
      <c r="AE74" s="319">
        <f>(AE73*100)/37</f>
        <v/>
      </c>
    </row>
    <row r="75">
      <c r="B75" s="318" t="n"/>
      <c r="C75" s="318" t="n"/>
      <c r="D75" s="318" t="inlineStr">
        <is>
          <t>RIEGO DE VEGETALES</t>
        </is>
      </c>
      <c r="G75" s="319" t="inlineStr">
        <is>
          <t>&gt;15</t>
        </is>
      </c>
      <c r="H75" s="319" t="n"/>
      <c r="I75" s="319" t="n"/>
      <c r="J75" s="319" t="n"/>
      <c r="K75" s="319" t="n"/>
      <c r="L75" s="319" t="n"/>
      <c r="M75" s="319" t="n"/>
      <c r="N75" s="319" t="inlineStr">
        <is>
          <t>&gt;41</t>
        </is>
      </c>
      <c r="O75" s="319" t="inlineStr">
        <is>
          <t>&lt;58&gt;</t>
        </is>
      </c>
      <c r="P75" s="319" t="n"/>
      <c r="Q75" s="319" t="inlineStr">
        <is>
          <t>&lt;14&gt;</t>
        </is>
      </c>
      <c r="R75" s="319" t="n"/>
      <c r="S75" s="319" t="n"/>
      <c r="T75" s="319" t="n"/>
      <c r="U75" s="319" t="n"/>
      <c r="V75" s="319" t="n"/>
      <c r="W75" s="319" t="n"/>
      <c r="X75" s="319" t="n"/>
      <c r="Y75" s="319" t="n"/>
      <c r="Z75" s="319" t="n"/>
      <c r="AA75" s="319" t="n"/>
      <c r="AB75" s="319" t="n"/>
      <c r="AC75" s="319" t="n"/>
      <c r="AD75" s="319" t="n"/>
      <c r="AE75" s="319" t="n"/>
    </row>
    <row r="76">
      <c r="B76" s="318" t="n"/>
      <c r="C76" s="318" t="n"/>
      <c r="D76" s="318" t="inlineStr">
        <is>
          <t>CONSUMO DE ANIMALES</t>
        </is>
      </c>
      <c r="G76" s="319" t="inlineStr">
        <is>
          <t>&gt;1</t>
        </is>
      </c>
      <c r="H76" s="319" t="n"/>
      <c r="I76" s="319" t="n"/>
      <c r="J76" s="319" t="n"/>
      <c r="K76" s="319" t="n"/>
      <c r="L76" s="319" t="n"/>
      <c r="N76" s="319" t="inlineStr">
        <is>
          <t>&gt;34</t>
        </is>
      </c>
      <c r="P76" s="319" t="n"/>
      <c r="R76" s="319" t="n"/>
      <c r="S76" s="319" t="n"/>
      <c r="T76" s="319" t="n"/>
      <c r="U76" s="319" t="n"/>
      <c r="V76" s="319" t="n"/>
      <c r="W76" s="319" t="n"/>
      <c r="X76" s="319" t="n"/>
      <c r="Y76" s="319" t="n"/>
      <c r="Z76" s="319" t="n"/>
      <c r="AA76" s="319" t="n"/>
      <c r="AB76" s="319" t="n"/>
      <c r="AC76" s="319" t="n"/>
      <c r="AD76" s="319" t="n"/>
      <c r="AE76" s="319" t="n"/>
    </row>
    <row r="77">
      <c r="B77" s="318" t="n"/>
      <c r="C77" s="318" t="n"/>
      <c r="D77" s="318" t="inlineStr">
        <is>
          <t>HUMANO</t>
        </is>
      </c>
      <c r="G77" s="319" t="inlineStr">
        <is>
          <t>&gt;14</t>
        </is>
      </c>
      <c r="H77" s="319" t="n"/>
      <c r="I77" s="319" t="inlineStr">
        <is>
          <t>&gt;16</t>
        </is>
      </c>
      <c r="J77" s="319" t="n"/>
      <c r="K77" s="319" t="n">
        <v>0</v>
      </c>
      <c r="L77" s="319" t="n"/>
      <c r="M77" s="319" t="inlineStr">
        <is>
          <t>&gt;16</t>
        </is>
      </c>
      <c r="N77" s="319" t="inlineStr">
        <is>
          <t>&gt;12</t>
        </is>
      </c>
      <c r="O77" s="319" t="inlineStr">
        <is>
          <t>&lt;23&gt;</t>
        </is>
      </c>
      <c r="P77" s="319" t="n"/>
      <c r="Q77" s="319" t="inlineStr">
        <is>
          <t>&lt;16&gt;</t>
        </is>
      </c>
      <c r="R77" s="319" t="n"/>
      <c r="S77" s="319" t="inlineStr">
        <is>
          <t>&gt;4</t>
        </is>
      </c>
      <c r="T77" s="319" t="n"/>
      <c r="U77" s="319" t="n"/>
      <c r="V77" s="319" t="inlineStr">
        <is>
          <t>&gt;12</t>
        </is>
      </c>
      <c r="W77" s="319" t="n"/>
      <c r="X77" s="319" t="n"/>
      <c r="Y77" s="319" t="n"/>
      <c r="Z77" s="319" t="n"/>
      <c r="AA77" s="319" t="n"/>
      <c r="AB77" s="319" t="n"/>
      <c r="AC77" s="319" t="n"/>
      <c r="AD77" s="319" t="n"/>
      <c r="AE77" s="319" t="n"/>
    </row>
    <row r="78">
      <c r="B78" s="222" t="n"/>
      <c r="C78" s="318" t="n"/>
      <c r="E78" s="318" t="inlineStr">
        <is>
          <t>MAX</t>
        </is>
      </c>
      <c r="F78" s="318" t="n"/>
      <c r="G78" s="419">
        <f>MAX(G11:G70)</f>
        <v/>
      </c>
      <c r="H78" s="420">
        <f>MAX(H11:H70)</f>
        <v/>
      </c>
      <c r="I78" s="419">
        <f>MAX(I11:I70)</f>
        <v/>
      </c>
      <c r="J78" s="421">
        <f>MAX(J11:J70)</f>
        <v/>
      </c>
      <c r="K78" s="419">
        <f>MAX(K11:K70)</f>
        <v/>
      </c>
      <c r="L78" s="419">
        <f>MAX(L11:L70)</f>
        <v/>
      </c>
      <c r="M78" s="419">
        <f>MAX(M11:M70)</f>
        <v/>
      </c>
      <c r="N78" s="421">
        <f>MAX(N11:N70)</f>
        <v/>
      </c>
      <c r="O78" s="421">
        <f>MAX(O11:O70)</f>
        <v/>
      </c>
      <c r="P78" s="419">
        <f>MAX(P11:P70)</f>
        <v/>
      </c>
      <c r="Q78" s="421">
        <f>MAX(Q11:Q70)</f>
        <v/>
      </c>
      <c r="R78" s="421">
        <f>MAX(R11:R70)</f>
        <v/>
      </c>
      <c r="S78" s="420">
        <f>MAX(S11:S70)</f>
        <v/>
      </c>
      <c r="T78" s="420">
        <f>MAX(T11:T70)</f>
        <v/>
      </c>
      <c r="U78" s="419">
        <f>MAX(U11:U70)</f>
        <v/>
      </c>
      <c r="V78" s="419">
        <f>MAX(V11:V70)</f>
        <v/>
      </c>
      <c r="W78" s="419">
        <f>MAX(W11:W70)</f>
        <v/>
      </c>
      <c r="X78" s="419" t="n"/>
      <c r="Y78" s="419" t="n"/>
      <c r="Z78" s="419" t="n"/>
      <c r="AA78" s="419" t="n"/>
      <c r="AB78" s="419" t="n"/>
      <c r="AC78" s="419">
        <f>MAX(AC11:AC70)</f>
        <v/>
      </c>
      <c r="AD78" s="419">
        <f>MAX(AD11:AD70)</f>
        <v/>
      </c>
      <c r="AE78" s="419">
        <f>MAX(AE11:AE70)</f>
        <v/>
      </c>
    </row>
    <row r="79">
      <c r="B79" s="222" t="n"/>
      <c r="C79" s="318" t="n"/>
      <c r="E79" s="318" t="inlineStr">
        <is>
          <t>MIN</t>
        </is>
      </c>
      <c r="F79" s="318" t="n"/>
      <c r="G79" s="422">
        <f>MIN(G11:G70)</f>
        <v/>
      </c>
      <c r="H79" s="423">
        <f>MIN(H11:H70)</f>
        <v/>
      </c>
      <c r="I79" s="422">
        <f>MIN(I11:I70)</f>
        <v/>
      </c>
      <c r="J79" s="424">
        <f>MIN(J11:J70)</f>
        <v/>
      </c>
      <c r="K79" s="424">
        <f>MIN(K11:K70)</f>
        <v/>
      </c>
      <c r="L79" s="424">
        <f>MIN(L11:L70)</f>
        <v/>
      </c>
      <c r="M79" s="422">
        <f>MIN(M11:M70)</f>
        <v/>
      </c>
      <c r="N79" s="423">
        <f>MIN(N11:N70)</f>
        <v/>
      </c>
      <c r="O79" s="423">
        <f>MIN(O11:O70)</f>
        <v/>
      </c>
      <c r="P79" s="422">
        <f>MIN(P11:P70)</f>
        <v/>
      </c>
      <c r="Q79" s="424">
        <f>MIN(Q11:Q70)</f>
        <v/>
      </c>
      <c r="R79" s="423">
        <f>MIN(R11:R70)</f>
        <v/>
      </c>
      <c r="S79" s="423">
        <f>MIN(S11:S70)</f>
        <v/>
      </c>
      <c r="T79" s="423">
        <f>MIN(T11:T70)</f>
        <v/>
      </c>
      <c r="U79" s="422">
        <f>MIN(U11:U70)</f>
        <v/>
      </c>
      <c r="V79" s="422">
        <f>MIN(V11:V70)</f>
        <v/>
      </c>
      <c r="W79" s="422">
        <f>MIN(W11:W70)</f>
        <v/>
      </c>
      <c r="X79" s="423" t="n"/>
      <c r="Y79" s="423" t="n"/>
      <c r="Z79" s="423" t="n"/>
      <c r="AA79" s="423" t="n"/>
      <c r="AB79" s="423" t="n"/>
      <c r="AC79" s="423">
        <f>MIN(AC11:AC70)</f>
        <v/>
      </c>
      <c r="AD79" s="422">
        <f>MIN(AD11:AD70)</f>
        <v/>
      </c>
      <c r="AE79" s="422">
        <f>MIN(AE11:AE70)</f>
        <v/>
      </c>
    </row>
    <row r="80">
      <c r="AD80" s="314" t="n"/>
    </row>
    <row r="81" ht="18.75" customHeight="1"/>
    <row r="82" ht="15.75" customHeight="1"/>
    <row r="85" ht="24.75" customHeight="1"/>
    <row r="87" ht="13.5" customHeight="1">
      <c r="O87" s="2" t="n"/>
    </row>
    <row r="88" ht="19.5" customHeight="1">
      <c r="L88" s="300" t="n"/>
      <c r="N88" s="3" t="n"/>
      <c r="O88" s="3" t="n"/>
      <c r="P88" s="300" t="inlineStr">
        <is>
          <t>1 microsiemens/centímetro = 0.001 milisiemens/centímetro</t>
        </is>
      </c>
      <c r="Q88" s="300" t="n"/>
      <c r="R88" s="300" t="n"/>
    </row>
    <row r="90" ht="18" customHeight="1">
      <c r="O90" s="4" t="n"/>
    </row>
    <row r="91" ht="18" customHeight="1">
      <c r="L91" s="315" t="n"/>
      <c r="O91" s="1" t="n"/>
      <c r="P91" s="315" t="inlineStr">
        <is>
          <t>1 mho/centímetro = 1 siemens/centímetro</t>
        </is>
      </c>
      <c r="Q91" s="315" t="n"/>
      <c r="R91" s="315" t="n"/>
    </row>
    <row r="92">
      <c r="L92" s="5" t="inlineStr">
        <is>
          <t>1us</t>
        </is>
      </c>
      <c r="O92" s="316" t="n"/>
      <c r="P92" s="7" t="inlineStr">
        <is>
          <t>1 umho</t>
        </is>
      </c>
    </row>
    <row r="94">
      <c r="P94" s="316" t="n"/>
      <c r="S94" s="314" t="n"/>
      <c r="T94" s="314" t="n"/>
      <c r="U94" s="314" t="n"/>
      <c r="V94" s="314" t="n"/>
      <c r="W94" s="314" t="n"/>
      <c r="X94" s="314" t="n"/>
      <c r="Y94" s="314" t="n"/>
      <c r="Z94" s="314" t="n"/>
      <c r="AA94" s="314" t="n"/>
      <c r="AB94" s="314" t="n"/>
      <c r="AC94" s="314" t="n"/>
    </row>
  </sheetData>
  <mergeCells count="23">
    <mergeCell ref="Y6:Y10"/>
    <mergeCell ref="D76:F76"/>
    <mergeCell ref="E6:F7"/>
    <mergeCell ref="C6:D10"/>
    <mergeCell ref="B8:B9"/>
    <mergeCell ref="AC8:AE8"/>
    <mergeCell ref="D75:F75"/>
    <mergeCell ref="E8:F8"/>
    <mergeCell ref="O75:O76"/>
    <mergeCell ref="E10:F10"/>
    <mergeCell ref="AC9:AE9"/>
    <mergeCell ref="Z6:Z10"/>
    <mergeCell ref="E9:F9"/>
    <mergeCell ref="AB6:AB10"/>
    <mergeCell ref="M75:M76"/>
    <mergeCell ref="B71:Q71"/>
    <mergeCell ref="AA6:AA10"/>
    <mergeCell ref="B4:AE4"/>
    <mergeCell ref="P94:R94"/>
    <mergeCell ref="B72:M72"/>
    <mergeCell ref="Q75:Q76"/>
    <mergeCell ref="X6:X10"/>
    <mergeCell ref="D77:F77"/>
  </mergeCells>
  <pageMargins left="0.7" right="0.7" top="0.75" bottom="0.75" header="0.3" footer="0.3"/>
  <pageSetup orientation="portrait" paperSize="9" scale="19"/>
</worksheet>
</file>

<file path=xl/worksheets/sheet6.xml><?xml version="1.0" encoding="utf-8"?>
<worksheet xmlns="http://schemas.openxmlformats.org/spreadsheetml/2006/main">
  <sheetPr>
    <tabColor theme="8"/>
    <outlinePr summaryBelow="1" summaryRight="1"/>
    <pageSetUpPr/>
  </sheetPr>
  <dimension ref="A2:AE94"/>
  <sheetViews>
    <sheetView workbookViewId="0">
      <selection activeCell="A1" sqref="A1"/>
    </sheetView>
  </sheetViews>
  <sheetFormatPr baseColWidth="10" defaultColWidth="11.42578125" defaultRowHeight="15"/>
  <cols>
    <col width="11.42578125" customWidth="1" style="360" min="1" max="1"/>
    <col width="24.28515625" bestFit="1" customWidth="1" style="360" min="2" max="2"/>
    <col width="11" customWidth="1" style="360" min="3" max="3"/>
    <col width="11.28515625" customWidth="1" style="360" min="4" max="4"/>
    <col width="10.7109375" customWidth="1" style="360" min="5" max="5"/>
    <col width="16.7109375" customWidth="1" style="360" min="6" max="6"/>
    <col width="15.5703125" customWidth="1" style="360" min="7" max="7"/>
    <col width="11.42578125" customWidth="1" style="360" min="8" max="8"/>
    <col width="15.28515625" customWidth="1" style="360" min="9" max="9"/>
    <col width="16.7109375" customWidth="1" style="360" min="10" max="10"/>
    <col width="11.42578125" customWidth="1" style="360" min="11" max="11"/>
    <col width="12.140625" customWidth="1" style="360" min="12" max="12"/>
    <col width="11.42578125" customWidth="1" style="360" min="13" max="14"/>
    <col width="16.42578125" customWidth="1" style="360" min="15" max="15"/>
    <col width="12.28515625" customWidth="1" style="360" min="16" max="16"/>
    <col width="14.85546875" customWidth="1" style="360" min="17" max="17"/>
    <col width="12.7109375" customWidth="1" style="360" min="18" max="18"/>
    <col width="13.7109375" customWidth="1" style="360" min="19" max="27"/>
    <col width="23.28515625" customWidth="1" style="360" min="28" max="28"/>
    <col width="13.7109375" customWidth="1" style="360" min="29" max="29"/>
    <col width="20.28515625" customWidth="1" style="360" min="30" max="30"/>
    <col width="18.7109375" customWidth="1" style="360" min="31" max="31"/>
    <col width="11.42578125" customWidth="1" style="360" min="32" max="16384"/>
  </cols>
  <sheetData>
    <row r="2" ht="11.25" customHeight="1">
      <c r="U2" s="360" t="n">
        <v>24.305</v>
      </c>
      <c r="V2" s="360" t="n">
        <v>22.989</v>
      </c>
      <c r="W2" s="360" t="n">
        <v>40.078</v>
      </c>
    </row>
    <row r="3" ht="12" customHeight="1" thickBot="1">
      <c r="U3" s="360" t="n">
        <v>2</v>
      </c>
      <c r="V3" s="360" t="n">
        <v>1</v>
      </c>
      <c r="W3" s="360" t="n">
        <v>2</v>
      </c>
    </row>
    <row r="4" ht="39" customFormat="1" customHeight="1" s="300" thickBot="1">
      <c r="B4" s="378" t="inlineStr">
        <is>
          <t>RESULTADOS ANÁLISIS FISICOS DE LA CALIDAD DE AGUA SUBTERRANEA VALLE DE VIRÚ
MARZO 2026 - 1° MONITOREO</t>
        </is>
      </c>
      <c r="C4" s="379" t="n"/>
      <c r="D4" s="379" t="n"/>
      <c r="E4" s="379" t="n"/>
      <c r="F4" s="379" t="n"/>
      <c r="G4" s="379" t="n"/>
      <c r="H4" s="379" t="n"/>
      <c r="I4" s="379" t="n"/>
      <c r="J4" s="379" t="n"/>
      <c r="K4" s="379" t="n"/>
      <c r="L4" s="379" t="n"/>
      <c r="M4" s="379" t="n"/>
      <c r="N4" s="379" t="n"/>
      <c r="O4" s="379" t="n"/>
      <c r="P4" s="379" t="n"/>
      <c r="Q4" s="379" t="n"/>
      <c r="R4" s="379" t="n"/>
      <c r="S4" s="379" t="n"/>
      <c r="T4" s="379" t="n"/>
      <c r="U4" s="379" t="n"/>
      <c r="V4" s="379" t="n"/>
      <c r="W4" s="379" t="n"/>
      <c r="X4" s="379" t="n"/>
      <c r="Y4" s="379" t="n"/>
      <c r="Z4" s="379" t="n"/>
      <c r="AA4" s="379" t="n"/>
      <c r="AB4" s="379" t="n"/>
      <c r="AC4" s="379" t="n"/>
      <c r="AD4" s="379" t="n"/>
      <c r="AE4" s="380" t="n"/>
    </row>
    <row r="5" ht="2.25" customHeight="1" thickBot="1"/>
    <row r="6" ht="45.75" customHeight="1" thickBot="1">
      <c r="B6" s="334" t="inlineStr">
        <is>
          <t>PARAMETRO</t>
        </is>
      </c>
      <c r="C6" s="230" t="inlineStr">
        <is>
          <t>Coordenada Datum: WGS-84</t>
        </is>
      </c>
      <c r="D6" s="381" t="n"/>
      <c r="E6" s="230" t="inlineStr">
        <is>
          <t>Nº de Pozo de observación</t>
        </is>
      </c>
      <c r="F6" s="381" t="n"/>
      <c r="G6" s="332" t="inlineStr">
        <is>
          <t>Conductividad Eléctrica</t>
        </is>
      </c>
      <c r="H6" s="332" t="inlineStr">
        <is>
          <t>Ph</t>
        </is>
      </c>
      <c r="I6" s="226" t="inlineStr">
        <is>
          <t>Sólidos Totales  Disueltos</t>
        </is>
      </c>
      <c r="J6" s="227" t="inlineStr">
        <is>
          <t>Temperatura</t>
        </is>
      </c>
      <c r="K6" s="326" t="inlineStr">
        <is>
          <t xml:space="preserve">Turbidez </t>
        </is>
      </c>
      <c r="L6" s="263" t="inlineStr">
        <is>
          <t xml:space="preserve">Nitratos  (NO3-) </t>
        </is>
      </c>
      <c r="M6" s="227" t="inlineStr">
        <is>
          <t>Nitritos  (NO2-)</t>
        </is>
      </c>
      <c r="N6" s="334" t="inlineStr">
        <is>
          <t>Cobre (Cu)</t>
        </is>
      </c>
      <c r="O6" s="332" t="inlineStr">
        <is>
          <t>Cromo Hexavalente (Cr6+)</t>
        </is>
      </c>
      <c r="P6" s="334" t="inlineStr">
        <is>
          <t>Sulfatos  (SO₄²-)</t>
        </is>
      </c>
      <c r="Q6" s="334" t="inlineStr">
        <is>
          <t>Manganeso (Mn)</t>
        </is>
      </c>
      <c r="R6" s="334" t="inlineStr">
        <is>
          <t>Zinc (Zn)</t>
        </is>
      </c>
      <c r="S6" s="334" t="inlineStr">
        <is>
          <t>Hierro (Fe)</t>
        </is>
      </c>
      <c r="T6" s="227" t="inlineStr">
        <is>
          <t>Amonio 
(NH4) (*)</t>
        </is>
      </c>
      <c r="U6" s="227" t="inlineStr">
        <is>
          <t>Magnesio
(Mg) (*)</t>
        </is>
      </c>
      <c r="V6" s="227" t="inlineStr">
        <is>
          <t>Sodio
(Na) (*)</t>
        </is>
      </c>
      <c r="W6" s="227" t="inlineStr">
        <is>
          <t>Calcio
(Ca)</t>
        </is>
      </c>
      <c r="X6" s="332" t="inlineStr">
        <is>
          <t>Magnesio
(Mg) (*)
(me/L)</t>
        </is>
      </c>
      <c r="Y6" s="332" t="inlineStr">
        <is>
          <t>Sodio
(Na) (*)
(me/L)</t>
        </is>
      </c>
      <c r="Z6" s="332" t="inlineStr">
        <is>
          <t>Calcio
(Ca) (*)
(me/L)</t>
        </is>
      </c>
      <c r="AA6" s="332" t="inlineStr">
        <is>
          <t>CÁLCULO 
RAS
(Relación de Absorción de Sodio)</t>
        </is>
      </c>
      <c r="AB6" s="332" t="inlineStr">
        <is>
          <t>GRADO DE RESTRICCIÓN</t>
        </is>
      </c>
      <c r="AC6" s="227" t="inlineStr">
        <is>
          <t>Coliformes
Totales</t>
        </is>
      </c>
      <c r="AD6" s="227" t="inlineStr">
        <is>
          <t>Coliformes
Termotolerantes</t>
        </is>
      </c>
      <c r="AE6" s="227" t="inlineStr">
        <is>
          <t>Escherichia coli</t>
        </is>
      </c>
    </row>
    <row r="7" ht="15.75" customHeight="1" thickBot="1">
      <c r="B7" s="334" t="inlineStr">
        <is>
          <t>UM</t>
        </is>
      </c>
      <c r="C7" s="382" t="n"/>
      <c r="D7" s="383" t="n"/>
      <c r="E7" s="384" t="n"/>
      <c r="F7" s="385" t="n"/>
      <c r="G7" s="332" t="inlineStr">
        <is>
          <t>µmho/cm</t>
        </is>
      </c>
      <c r="H7" s="332" t="inlineStr">
        <is>
          <t>ph</t>
        </is>
      </c>
      <c r="I7" s="332" t="inlineStr">
        <is>
          <t>mgL-1</t>
        </is>
      </c>
      <c r="J7" s="333" t="inlineStr">
        <is>
          <t>°C</t>
        </is>
      </c>
      <c r="K7" s="332" t="inlineStr">
        <is>
          <t>NTU</t>
        </is>
      </c>
      <c r="L7" s="228" t="inlineStr">
        <is>
          <t>mg/L</t>
        </is>
      </c>
      <c r="M7" s="228" t="inlineStr">
        <is>
          <t>mg/L</t>
        </is>
      </c>
      <c r="N7" s="227" t="inlineStr">
        <is>
          <t>mg/L</t>
        </is>
      </c>
      <c r="O7" s="227" t="inlineStr">
        <is>
          <t>mg/L</t>
        </is>
      </c>
      <c r="P7" s="227" t="inlineStr">
        <is>
          <t>mg/L</t>
        </is>
      </c>
      <c r="Q7" s="227" t="inlineStr">
        <is>
          <t>mg/L</t>
        </is>
      </c>
      <c r="R7" s="227" t="inlineStr">
        <is>
          <t>mg/L</t>
        </is>
      </c>
      <c r="S7" s="332" t="inlineStr">
        <is>
          <t>mg/L</t>
        </is>
      </c>
      <c r="T7" s="332" t="inlineStr">
        <is>
          <t>mg/L</t>
        </is>
      </c>
      <c r="U7" s="332" t="inlineStr">
        <is>
          <t>mg/L</t>
        </is>
      </c>
      <c r="V7" s="332" t="inlineStr">
        <is>
          <t>mg/L</t>
        </is>
      </c>
      <c r="W7" s="332" t="inlineStr">
        <is>
          <t>mg/L</t>
        </is>
      </c>
      <c r="X7" s="386" t="n"/>
      <c r="Y7" s="386" t="n"/>
      <c r="Z7" s="386" t="n"/>
      <c r="AA7" s="386" t="n"/>
      <c r="AB7" s="386" t="n"/>
      <c r="AC7" s="332" t="inlineStr">
        <is>
          <t>UFC/100 ml</t>
        </is>
      </c>
      <c r="AD7" s="332" t="inlineStr">
        <is>
          <t>UFC/100 ml</t>
        </is>
      </c>
      <c r="AE7" s="332" t="inlineStr">
        <is>
          <t>UFC/100 ml</t>
        </is>
      </c>
    </row>
    <row r="8" ht="15.75" customHeight="1" thickBot="1">
      <c r="B8" s="230" t="inlineStr">
        <is>
          <t>DS N° 004-2017 MINAM</t>
        </is>
      </c>
      <c r="C8" s="382" t="n"/>
      <c r="D8" s="383" t="n"/>
      <c r="E8" s="260" t="inlineStr">
        <is>
          <t>Riego deVegetales</t>
        </is>
      </c>
      <c r="F8" s="380" t="n"/>
      <c r="G8" s="260" t="n">
        <v>2500</v>
      </c>
      <c r="H8" s="259" t="inlineStr">
        <is>
          <t>6,5 – 8,5</t>
        </is>
      </c>
      <c r="I8" s="260" t="inlineStr">
        <is>
          <t>-</t>
        </is>
      </c>
      <c r="J8" s="260" t="inlineStr">
        <is>
          <t>-</t>
        </is>
      </c>
      <c r="K8" s="260" t="inlineStr">
        <is>
          <t>-</t>
        </is>
      </c>
      <c r="L8" s="227" t="n">
        <v>100</v>
      </c>
      <c r="M8" s="260" t="n">
        <v>10</v>
      </c>
      <c r="N8" s="227" t="n">
        <v>0.2</v>
      </c>
      <c r="O8" s="227" t="inlineStr">
        <is>
          <t>0.1 (C.T)</t>
        </is>
      </c>
      <c r="P8" s="227" t="n">
        <v>1000</v>
      </c>
      <c r="Q8" s="227" t="n">
        <v>0.2</v>
      </c>
      <c r="R8" s="227" t="n">
        <v>2</v>
      </c>
      <c r="S8" s="260" t="n">
        <v>5</v>
      </c>
      <c r="T8" s="260" t="inlineStr">
        <is>
          <t>-</t>
        </is>
      </c>
      <c r="U8" s="260" t="inlineStr">
        <is>
          <t>-</t>
        </is>
      </c>
      <c r="V8" s="260" t="inlineStr">
        <is>
          <t>-</t>
        </is>
      </c>
      <c r="W8" s="260" t="inlineStr">
        <is>
          <t>-</t>
        </is>
      </c>
      <c r="X8" s="386" t="n"/>
      <c r="Y8" s="386" t="n"/>
      <c r="Z8" s="386" t="n"/>
      <c r="AA8" s="386" t="n"/>
      <c r="AB8" s="386" t="n"/>
      <c r="AC8" s="339" t="inlineStr">
        <is>
          <t>*</t>
        </is>
      </c>
      <c r="AD8" s="379" t="n"/>
      <c r="AE8" s="380" t="n"/>
    </row>
    <row r="9" ht="15.75" customHeight="1" thickBot="1">
      <c r="B9" s="387" t="n"/>
      <c r="C9" s="382" t="n"/>
      <c r="D9" s="383" t="n"/>
      <c r="E9" s="260" t="inlineStr">
        <is>
          <t>Consumo de Animales</t>
        </is>
      </c>
      <c r="F9" s="380" t="n"/>
      <c r="G9" s="261" t="n">
        <v>5000</v>
      </c>
      <c r="H9" s="332" t="inlineStr">
        <is>
          <t>6,5 – 8,4</t>
        </is>
      </c>
      <c r="I9" s="262" t="inlineStr">
        <is>
          <t>-</t>
        </is>
      </c>
      <c r="J9" s="262" t="inlineStr">
        <is>
          <t>-</t>
        </is>
      </c>
      <c r="K9" s="260" t="inlineStr">
        <is>
          <t>-</t>
        </is>
      </c>
      <c r="L9" s="227" t="n">
        <v>100</v>
      </c>
      <c r="M9" s="260" t="n">
        <v>10</v>
      </c>
      <c r="N9" s="227" t="n">
        <v>0.5</v>
      </c>
      <c r="O9" s="227" t="inlineStr">
        <is>
          <t>1  (C.T)</t>
        </is>
      </c>
      <c r="P9" s="227" t="n">
        <v>1000</v>
      </c>
      <c r="Q9" s="227" t="n">
        <v>0.2</v>
      </c>
      <c r="R9" s="227" t="n">
        <v>24</v>
      </c>
      <c r="S9" s="260" t="inlineStr">
        <is>
          <t>-</t>
        </is>
      </c>
      <c r="T9" s="260" t="inlineStr">
        <is>
          <t>-</t>
        </is>
      </c>
      <c r="U9" s="227" t="n">
        <v>250</v>
      </c>
      <c r="V9" s="260" t="inlineStr">
        <is>
          <t>-</t>
        </is>
      </c>
      <c r="W9" s="260" t="inlineStr">
        <is>
          <t>-</t>
        </is>
      </c>
      <c r="X9" s="386" t="n"/>
      <c r="Y9" s="386" t="n"/>
      <c r="Z9" s="386" t="n"/>
      <c r="AA9" s="386" t="n"/>
      <c r="AB9" s="386" t="n"/>
      <c r="AC9" s="339" t="inlineStr">
        <is>
          <t>*</t>
        </is>
      </c>
      <c r="AD9" s="379" t="n"/>
      <c r="AE9" s="380" t="n"/>
    </row>
    <row r="10" ht="15.75" customHeight="1" thickBot="1">
      <c r="B10" s="230" t="inlineStr">
        <is>
          <t>DS N° 031-2010-SA.</t>
        </is>
      </c>
      <c r="C10" s="384" t="n"/>
      <c r="D10" s="385" t="n"/>
      <c r="E10" s="260" t="inlineStr">
        <is>
          <t>Consumo Humano</t>
        </is>
      </c>
      <c r="F10" s="380" t="n"/>
      <c r="G10" s="332" t="inlineStr">
        <is>
          <t>1 500</t>
        </is>
      </c>
      <c r="H10" s="332" t="inlineStr">
        <is>
          <t>6.5-8.5</t>
        </is>
      </c>
      <c r="I10" s="332" t="inlineStr">
        <is>
          <t>1 000</t>
        </is>
      </c>
      <c r="J10" s="231" t="inlineStr">
        <is>
          <t>-</t>
        </is>
      </c>
      <c r="K10" s="334" t="n">
        <v>5</v>
      </c>
      <c r="L10" s="334" t="n">
        <v>50</v>
      </c>
      <c r="M10" s="334" t="n">
        <v>3</v>
      </c>
      <c r="N10" s="332" t="n">
        <v>2</v>
      </c>
      <c r="O10" s="332" t="n">
        <v>0.05</v>
      </c>
      <c r="P10" s="334" t="n">
        <v>250</v>
      </c>
      <c r="Q10" s="334" t="n">
        <v>0.4</v>
      </c>
      <c r="R10" s="334" t="n">
        <v>3</v>
      </c>
      <c r="S10" s="332" t="n">
        <v>0.3</v>
      </c>
      <c r="T10" s="332" t="inlineStr">
        <is>
          <t>-</t>
        </is>
      </c>
      <c r="U10" s="332" t="inlineStr">
        <is>
          <t>-</t>
        </is>
      </c>
      <c r="V10" s="332" t="n">
        <v>200</v>
      </c>
      <c r="W10" s="332" t="inlineStr">
        <is>
          <t>-</t>
        </is>
      </c>
      <c r="X10" s="386" t="n"/>
      <c r="Y10" s="386" t="n"/>
      <c r="Z10" s="386" t="n"/>
      <c r="AA10" s="386" t="n"/>
      <c r="AB10" s="386" t="n"/>
      <c r="AC10" s="332" t="n">
        <v>0</v>
      </c>
      <c r="AD10" s="332" t="n">
        <v>0</v>
      </c>
      <c r="AE10" s="332" t="n">
        <v>0</v>
      </c>
    </row>
    <row r="11" ht="15.75" customFormat="1" customHeight="1" s="301" thickBot="1">
      <c r="B11" s="291" t="inlineStr">
        <is>
          <t>M1</t>
        </is>
      </c>
      <c r="C11" s="291" t="n"/>
      <c r="D11" s="291" t="n"/>
      <c r="E11" s="291" t="n"/>
      <c r="F11" s="292" t="n"/>
      <c r="G11" s="388" t="n"/>
      <c r="H11" s="389" t="n"/>
      <c r="I11" s="390" t="n"/>
      <c r="J11" s="391" t="n"/>
      <c r="K11" s="271" t="n"/>
      <c r="L11" s="272" t="n"/>
      <c r="M11" s="271" t="n"/>
      <c r="N11" s="392" t="n"/>
      <c r="O11" s="392" t="n"/>
      <c r="P11" s="275" t="n"/>
      <c r="Q11" s="283" t="n"/>
      <c r="R11" s="392" t="n"/>
      <c r="S11" s="276" t="n"/>
      <c r="T11" s="277" t="n"/>
      <c r="U11" s="272" t="n"/>
      <c r="V11" s="278" t="n"/>
      <c r="W11" s="279" t="n"/>
      <c r="X11" s="391">
        <f>(U11/($U$2/$U$3))</f>
        <v/>
      </c>
      <c r="Y11" s="391">
        <f>(V11/($V$2/$V$3))</f>
        <v/>
      </c>
      <c r="Z11" s="391">
        <f>(W11/($W$2/$W$3))</f>
        <v/>
      </c>
      <c r="AA11" s="391">
        <f>(Y11)/SQRT(((Z11+X11)/2))</f>
        <v/>
      </c>
      <c r="AB11" s="391">
        <f>IF(AA11&lt;3,"NINGUNO",IF(AA11&lt;=9,"LEVE O MODERADO","SEVERO"))</f>
        <v/>
      </c>
      <c r="AC11" s="280">
        <f>5*5</f>
        <v/>
      </c>
      <c r="AD11" s="280" t="n">
        <v>1</v>
      </c>
      <c r="AE11" s="280" t="n">
        <v>1</v>
      </c>
    </row>
    <row r="12" ht="15.75" customFormat="1" customHeight="1" s="302" thickBot="1">
      <c r="B12" s="237" t="inlineStr">
        <is>
          <t>M2</t>
        </is>
      </c>
      <c r="C12" s="237" t="n"/>
      <c r="D12" s="237" t="n"/>
      <c r="E12" s="237" t="n"/>
      <c r="F12" s="220" t="n"/>
      <c r="G12" s="393" t="n"/>
      <c r="H12" s="394" t="n"/>
      <c r="I12" s="395" t="n"/>
      <c r="J12" s="396" t="n"/>
      <c r="K12" s="247" t="n"/>
      <c r="L12" s="246" t="n"/>
      <c r="M12" s="247" t="n"/>
      <c r="N12" s="394" t="n"/>
      <c r="O12" s="394" t="n"/>
      <c r="P12" s="234" t="n"/>
      <c r="Q12" s="397" t="n"/>
      <c r="R12" s="394" t="n"/>
      <c r="S12" s="254" t="n"/>
      <c r="T12" s="248" t="n"/>
      <c r="U12" s="246" t="n"/>
      <c r="V12" s="255" t="n"/>
      <c r="W12" s="238" t="n"/>
      <c r="X12" s="396">
        <f>(U12/($U$2/$U$3))</f>
        <v/>
      </c>
      <c r="Y12" s="396">
        <f>(V12/($V$2/$V$3))</f>
        <v/>
      </c>
      <c r="Z12" s="396">
        <f>(W12/($W$2/$W$3))</f>
        <v/>
      </c>
      <c r="AA12" s="396">
        <f>(Y12)/SQRT(((Z12+X12)/2))</f>
        <v/>
      </c>
      <c r="AB12" s="396">
        <f>IF(AA12&lt;3,"NINGUNO",IF(AA12&lt;=9,"LEVE O MODERADO","SEVERO"))</f>
        <v/>
      </c>
      <c r="AC12" s="238" t="inlineStr">
        <is>
          <t>-</t>
        </is>
      </c>
      <c r="AD12" s="238" t="inlineStr">
        <is>
          <t>-</t>
        </is>
      </c>
      <c r="AE12" s="238" t="inlineStr">
        <is>
          <t>-</t>
        </is>
      </c>
    </row>
    <row r="13" ht="15.75" customFormat="1" customHeight="1" s="302" thickBot="1">
      <c r="B13" s="237" t="inlineStr">
        <is>
          <t>M3</t>
        </is>
      </c>
      <c r="C13" s="237" t="n"/>
      <c r="D13" s="237" t="n"/>
      <c r="E13" s="237" t="n"/>
      <c r="F13" s="220" t="n"/>
      <c r="G13" s="393" t="n"/>
      <c r="H13" s="397" t="n"/>
      <c r="I13" s="395" t="n"/>
      <c r="J13" s="398" t="n"/>
      <c r="K13" s="247" t="n"/>
      <c r="L13" s="246" t="n"/>
      <c r="M13" s="247" t="n"/>
      <c r="N13" s="394" t="n"/>
      <c r="O13" s="250" t="n"/>
      <c r="P13" s="234" t="n"/>
      <c r="Q13" s="258" t="n"/>
      <c r="R13" s="394" t="n"/>
      <c r="S13" s="254" t="n"/>
      <c r="T13" s="248" t="n"/>
      <c r="U13" s="246" t="n"/>
      <c r="V13" s="255" t="n"/>
      <c r="W13" s="238" t="n"/>
      <c r="X13" s="396">
        <f>(U13/($U$2/$U$3))</f>
        <v/>
      </c>
      <c r="Y13" s="396">
        <f>(V13/($V$2/$V$3))</f>
        <v/>
      </c>
      <c r="Z13" s="396">
        <f>(W13/($W$2/$W$3))</f>
        <v/>
      </c>
      <c r="AA13" s="396">
        <f>(Y13)/SQRT(((Z13+X13)/2))</f>
        <v/>
      </c>
      <c r="AB13" s="396">
        <f>IF(AA13&lt;3,"NINGUNO",IF(AA13&lt;=9,"LEVE O MODERADO","SEVERO"))</f>
        <v/>
      </c>
      <c r="AC13" s="238" t="inlineStr">
        <is>
          <t>-</t>
        </is>
      </c>
      <c r="AD13" s="238" t="inlineStr">
        <is>
          <t>-</t>
        </is>
      </c>
      <c r="AE13" s="238" t="inlineStr">
        <is>
          <t>-</t>
        </is>
      </c>
    </row>
    <row r="14" ht="15.75" customFormat="1" customHeight="1" s="302" thickBot="1">
      <c r="B14" s="237" t="inlineStr">
        <is>
          <t>M4</t>
        </is>
      </c>
      <c r="C14" s="237" t="n"/>
      <c r="D14" s="237" t="n"/>
      <c r="E14" s="237" t="n"/>
      <c r="F14" s="220" t="n"/>
      <c r="G14" s="399" t="n"/>
      <c r="H14" s="394" t="n"/>
      <c r="I14" s="395" t="n"/>
      <c r="J14" s="396" t="n"/>
      <c r="K14" s="247" t="n"/>
      <c r="L14" s="246" t="n"/>
      <c r="M14" s="247" t="n"/>
      <c r="N14" s="394" t="n"/>
      <c r="O14" s="394" t="n"/>
      <c r="P14" s="234" t="n"/>
      <c r="Q14" s="258" t="n"/>
      <c r="R14" s="394" t="n"/>
      <c r="S14" s="254" t="n"/>
      <c r="T14" s="248" t="n"/>
      <c r="U14" s="246" t="n"/>
      <c r="V14" s="255" t="n"/>
      <c r="W14" s="238" t="n"/>
      <c r="X14" s="396">
        <f>(U14/($U$2/$U$3))</f>
        <v/>
      </c>
      <c r="Y14" s="396">
        <f>(V14/($V$2/$V$3))</f>
        <v/>
      </c>
      <c r="Z14" s="396">
        <f>(W14/($W$2/$W$3))</f>
        <v/>
      </c>
      <c r="AA14" s="396">
        <f>(Y14)/SQRT(((Z14+X14)/2))</f>
        <v/>
      </c>
      <c r="AB14" s="396">
        <f>IF(AA14&lt;3,"NINGUNO",IF(AA14&lt;=9,"LEVE O MODERADO","SEVERO"))</f>
        <v/>
      </c>
      <c r="AC14" s="238" t="inlineStr">
        <is>
          <t>-</t>
        </is>
      </c>
      <c r="AD14" s="238" t="inlineStr">
        <is>
          <t>-</t>
        </is>
      </c>
      <c r="AE14" s="238" t="inlineStr">
        <is>
          <t>-</t>
        </is>
      </c>
    </row>
    <row r="15" ht="15.75" customFormat="1" customHeight="1" s="302" thickBot="1">
      <c r="B15" s="237" t="inlineStr">
        <is>
          <t>M5</t>
        </is>
      </c>
      <c r="C15" s="237" t="n"/>
      <c r="D15" s="237" t="n"/>
      <c r="E15" s="237" t="n"/>
      <c r="F15" s="220" t="n"/>
      <c r="G15" s="399" t="n"/>
      <c r="H15" s="394" t="n"/>
      <c r="I15" s="395" t="n"/>
      <c r="J15" s="396" t="n"/>
      <c r="K15" s="247" t="n"/>
      <c r="L15" s="246" t="n"/>
      <c r="M15" s="247" t="n"/>
      <c r="N15" s="394" t="n"/>
      <c r="O15" s="250" t="n"/>
      <c r="P15" s="234" t="n"/>
      <c r="Q15" s="397" t="n"/>
      <c r="R15" s="394" t="n"/>
      <c r="S15" s="254" t="n"/>
      <c r="T15" s="248" t="n"/>
      <c r="U15" s="246" t="n"/>
      <c r="V15" s="255" t="n"/>
      <c r="W15" s="238" t="n"/>
      <c r="X15" s="396">
        <f>(U15/($U$2/$U$3))</f>
        <v/>
      </c>
      <c r="Y15" s="396">
        <f>(V15/($V$2/$V$3))</f>
        <v/>
      </c>
      <c r="Z15" s="396">
        <f>(W15/($W$2/$W$3))</f>
        <v/>
      </c>
      <c r="AA15" s="396">
        <f>(Y15)/SQRT(((Z15+X15)/2))</f>
        <v/>
      </c>
      <c r="AB15" s="396">
        <f>IF(AA15&lt;3,"NINGUNO",IF(AA15&lt;=9,"LEVE O MODERADO","SEVERO"))</f>
        <v/>
      </c>
      <c r="AC15" s="238" t="inlineStr">
        <is>
          <t>-</t>
        </is>
      </c>
      <c r="AD15" s="238" t="inlineStr">
        <is>
          <t>-</t>
        </is>
      </c>
      <c r="AE15" s="238" t="inlineStr">
        <is>
          <t>-</t>
        </is>
      </c>
    </row>
    <row r="16" ht="15.75" customFormat="1" customHeight="1" s="301" thickBot="1">
      <c r="B16" s="265" t="inlineStr">
        <is>
          <t>M6</t>
        </is>
      </c>
      <c r="C16" s="265" t="n"/>
      <c r="D16" s="265" t="n"/>
      <c r="E16" s="265" t="n"/>
      <c r="F16" s="266" t="n"/>
      <c r="G16" s="400" t="n"/>
      <c r="H16" s="392" t="n"/>
      <c r="I16" s="401" t="n"/>
      <c r="J16" s="391" t="n"/>
      <c r="K16" s="271" t="n"/>
      <c r="L16" s="272" t="n"/>
      <c r="M16" s="271" t="n"/>
      <c r="N16" s="392" t="n"/>
      <c r="O16" s="274" t="n"/>
      <c r="P16" s="275" t="n"/>
      <c r="Q16" s="283" t="n"/>
      <c r="R16" s="392" t="n"/>
      <c r="S16" s="276" t="n"/>
      <c r="T16" s="277" t="n"/>
      <c r="U16" s="272" t="n"/>
      <c r="V16" s="278" t="n"/>
      <c r="W16" s="279" t="n"/>
      <c r="X16" s="391">
        <f>(U16/($U$2/$U$3))</f>
        <v/>
      </c>
      <c r="Y16" s="391">
        <f>(V16/($V$2/$V$3))</f>
        <v/>
      </c>
      <c r="Z16" s="391">
        <f>(W16/($W$2/$W$3))</f>
        <v/>
      </c>
      <c r="AA16" s="391">
        <f>(Y16)/SQRT(((Z16+X16)/2))</f>
        <v/>
      </c>
      <c r="AB16" s="391">
        <f>IF(AA16&lt;3,"NINGUNO",IF(AA16&lt;=9,"LEVE O MODERADO","SEVERO"))</f>
        <v/>
      </c>
      <c r="AC16" s="280" t="n">
        <v>60</v>
      </c>
      <c r="AD16" s="281" t="n">
        <v>0</v>
      </c>
      <c r="AE16" s="281" t="n">
        <v>0</v>
      </c>
    </row>
    <row r="17" ht="15.75" customFormat="1" customHeight="1" s="302" thickBot="1">
      <c r="B17" s="237" t="inlineStr">
        <is>
          <t>M7</t>
        </is>
      </c>
      <c r="C17" s="237" t="n"/>
      <c r="D17" s="237" t="n"/>
      <c r="E17" s="237" t="n"/>
      <c r="F17" s="220" t="n"/>
      <c r="G17" s="399" t="n"/>
      <c r="H17" s="394" t="n"/>
      <c r="I17" s="395" t="n"/>
      <c r="J17" s="396" t="n"/>
      <c r="K17" s="247" t="n"/>
      <c r="L17" s="246" t="n"/>
      <c r="M17" s="247" t="n"/>
      <c r="N17" s="394" t="n"/>
      <c r="O17" s="250" t="n"/>
      <c r="P17" s="234" t="n"/>
      <c r="Q17" s="258" t="n"/>
      <c r="R17" s="394" t="n"/>
      <c r="S17" s="254" t="n"/>
      <c r="T17" s="248" t="n"/>
      <c r="U17" s="246" t="n"/>
      <c r="V17" s="255" t="n"/>
      <c r="W17" s="238" t="n"/>
      <c r="X17" s="396">
        <f>(U17/($U$2/$U$3))</f>
        <v/>
      </c>
      <c r="Y17" s="396">
        <f>(V17/($V$2/$V$3))</f>
        <v/>
      </c>
      <c r="Z17" s="396">
        <f>(W17/($W$2/$W$3))</f>
        <v/>
      </c>
      <c r="AA17" s="396">
        <f>(Y17)/SQRT(((Z17+X17)/2))</f>
        <v/>
      </c>
      <c r="AB17" s="396">
        <f>IF(AA17&lt;3,"NINGUNO",IF(AA17&lt;=9,"LEVE O MODERADO","SEVERO"))</f>
        <v/>
      </c>
      <c r="AC17" s="238" t="inlineStr">
        <is>
          <t>-</t>
        </is>
      </c>
      <c r="AD17" s="238" t="inlineStr">
        <is>
          <t>-</t>
        </is>
      </c>
      <c r="AE17" s="238" t="inlineStr">
        <is>
          <t>-</t>
        </is>
      </c>
    </row>
    <row r="18" ht="15.75" customFormat="1" customHeight="1" s="301" thickBot="1">
      <c r="B18" s="265" t="inlineStr">
        <is>
          <t>M8</t>
        </is>
      </c>
      <c r="C18" s="265" t="n"/>
      <c r="D18" s="265" t="n"/>
      <c r="E18" s="265" t="n"/>
      <c r="F18" s="266" t="n"/>
      <c r="G18" s="400" t="n"/>
      <c r="H18" s="392" t="n"/>
      <c r="I18" s="401" t="n"/>
      <c r="J18" s="391" t="n"/>
      <c r="K18" s="271" t="n"/>
      <c r="L18" s="272" t="n"/>
      <c r="M18" s="271" t="n"/>
      <c r="N18" s="392" t="n"/>
      <c r="O18" s="274" t="n"/>
      <c r="P18" s="275" t="n"/>
      <c r="Q18" s="283" t="n"/>
      <c r="R18" s="392" t="n"/>
      <c r="S18" s="276" t="n"/>
      <c r="T18" s="277" t="n"/>
      <c r="U18" s="272" t="n"/>
      <c r="V18" s="278" t="n"/>
      <c r="W18" s="279" t="n"/>
      <c r="X18" s="391">
        <f>(U18/($U$2/$U$3))</f>
        <v/>
      </c>
      <c r="Y18" s="391">
        <f>(V18/($V$2/$V$3))</f>
        <v/>
      </c>
      <c r="Z18" s="391">
        <f>(W18/($W$2/$W$3))</f>
        <v/>
      </c>
      <c r="AA18" s="391">
        <f>(Y18)/SQRT(((Z18+X18)/2))</f>
        <v/>
      </c>
      <c r="AB18" s="391">
        <f>IF(AA18&lt;3,"NINGUNO",IF(AA18&lt;=9,"LEVE O MODERADO","SEVERO"))</f>
        <v/>
      </c>
      <c r="AC18" s="280" t="n">
        <v>40</v>
      </c>
      <c r="AD18" s="280" t="n">
        <v>2</v>
      </c>
      <c r="AE18" s="280" t="n">
        <v>2</v>
      </c>
    </row>
    <row r="19" ht="15.75" customFormat="1" customHeight="1" s="301" thickBot="1">
      <c r="B19" s="265" t="inlineStr">
        <is>
          <t>M9</t>
        </is>
      </c>
      <c r="C19" s="265" t="n"/>
      <c r="D19" s="265" t="n"/>
      <c r="E19" s="265" t="n"/>
      <c r="F19" s="266" t="n"/>
      <c r="G19" s="400" t="n"/>
      <c r="H19" s="392" t="n"/>
      <c r="I19" s="401" t="n"/>
      <c r="J19" s="391" t="n"/>
      <c r="K19" s="271" t="n"/>
      <c r="L19" s="272" t="n"/>
      <c r="M19" s="271" t="n"/>
      <c r="N19" s="392" t="n"/>
      <c r="O19" s="274" t="n"/>
      <c r="P19" s="275" t="n"/>
      <c r="Q19" s="402" t="n"/>
      <c r="R19" s="392" t="n"/>
      <c r="S19" s="276" t="n"/>
      <c r="T19" s="277" t="n"/>
      <c r="U19" s="272" t="n"/>
      <c r="V19" s="278" t="n"/>
      <c r="W19" s="279" t="n"/>
      <c r="X19" s="391">
        <f>(U19/($U$2/$U$3))</f>
        <v/>
      </c>
      <c r="Y19" s="391">
        <f>(V19/($V$2/$V$3))</f>
        <v/>
      </c>
      <c r="Z19" s="391">
        <f>(W19/($W$2/$W$3))</f>
        <v/>
      </c>
      <c r="AA19" s="391">
        <f>(Y19)/SQRT(((Z19+X19)/2))</f>
        <v/>
      </c>
      <c r="AB19" s="391">
        <f>IF(AA19&lt;3,"NINGUNO",IF(AA19&lt;=9,"LEVE O MODERADO","SEVERO"))</f>
        <v/>
      </c>
      <c r="AC19" s="280" t="n">
        <v>50</v>
      </c>
      <c r="AD19" s="281" t="n">
        <v>0</v>
      </c>
      <c r="AE19" s="281" t="n">
        <v>0</v>
      </c>
    </row>
    <row r="20" ht="15.75" customFormat="1" customHeight="1" s="301" thickBot="1">
      <c r="B20" s="265" t="inlineStr">
        <is>
          <t>M10</t>
        </is>
      </c>
      <c r="C20" s="265" t="n"/>
      <c r="D20" s="265" t="n"/>
      <c r="E20" s="265" t="n"/>
      <c r="F20" s="266" t="n"/>
      <c r="G20" s="400" t="n"/>
      <c r="H20" s="392" t="n"/>
      <c r="I20" s="401" t="n"/>
      <c r="J20" s="391" t="n"/>
      <c r="K20" s="271" t="n"/>
      <c r="L20" s="272" t="n"/>
      <c r="M20" s="271" t="n"/>
      <c r="N20" s="392" t="n"/>
      <c r="O20" s="274" t="n"/>
      <c r="P20" s="275" t="n"/>
      <c r="Q20" s="283" t="n"/>
      <c r="R20" s="392" t="n"/>
      <c r="S20" s="276" t="n"/>
      <c r="T20" s="277" t="n"/>
      <c r="U20" s="272" t="n"/>
      <c r="V20" s="278" t="n"/>
      <c r="W20" s="279" t="n"/>
      <c r="X20" s="391">
        <f>(U20/($U$2/$U$3))</f>
        <v/>
      </c>
      <c r="Y20" s="391">
        <f>(V20/($V$2/$V$3))</f>
        <v/>
      </c>
      <c r="Z20" s="391">
        <f>(W20/($W$2/$W$3))</f>
        <v/>
      </c>
      <c r="AA20" s="391">
        <f>(Y20)/SQRT(((Z20+X20)/2))</f>
        <v/>
      </c>
      <c r="AB20" s="391">
        <f>IF(AA20&lt;3,"NINGUNO",IF(AA20&lt;=9,"LEVE O MODERADO","SEVERO"))</f>
        <v/>
      </c>
      <c r="AC20" s="280" t="n">
        <v>70</v>
      </c>
      <c r="AD20" s="281" t="n">
        <v>0</v>
      </c>
      <c r="AE20" s="281" t="n">
        <v>0</v>
      </c>
    </row>
    <row r="21" ht="15.75" customFormat="1" customHeight="1" s="301" thickBot="1">
      <c r="B21" s="265" t="inlineStr">
        <is>
          <t>M11</t>
        </is>
      </c>
      <c r="C21" s="265" t="n"/>
      <c r="D21" s="265" t="n"/>
      <c r="E21" s="265" t="n"/>
      <c r="F21" s="266" t="n"/>
      <c r="G21" s="400" t="n"/>
      <c r="H21" s="392" t="n"/>
      <c r="I21" s="401" t="n"/>
      <c r="J21" s="391" t="n"/>
      <c r="K21" s="272" t="n"/>
      <c r="L21" s="272" t="n"/>
      <c r="M21" s="271" t="n"/>
      <c r="N21" s="392" t="n"/>
      <c r="O21" s="392" t="n"/>
      <c r="P21" s="275" t="n"/>
      <c r="Q21" s="283" t="n"/>
      <c r="R21" s="392" t="n"/>
      <c r="S21" s="276" t="n"/>
      <c r="T21" s="277" t="n"/>
      <c r="U21" s="272" t="n"/>
      <c r="V21" s="278" t="n"/>
      <c r="W21" s="279" t="n"/>
      <c r="X21" s="391">
        <f>(U21/($U$2/$U$3))</f>
        <v/>
      </c>
      <c r="Y21" s="391">
        <f>(V21/($V$2/$V$3))</f>
        <v/>
      </c>
      <c r="Z21" s="391">
        <f>(W21/($W$2/$W$3))</f>
        <v/>
      </c>
      <c r="AA21" s="391">
        <f>(Y21)/SQRT(((Z21+X21)/2))</f>
        <v/>
      </c>
      <c r="AB21" s="391">
        <f>IF(AA21&lt;3,"NINGUNO",IF(AA21&lt;=9,"LEVE O MODERADO","SEVERO"))</f>
        <v/>
      </c>
      <c r="AC21" s="280" t="n">
        <v>50</v>
      </c>
      <c r="AD21" s="280" t="n">
        <v>5</v>
      </c>
      <c r="AE21" s="280" t="n">
        <v>5</v>
      </c>
    </row>
    <row r="22" ht="15.75" customFormat="1" customHeight="1" s="302" thickBot="1">
      <c r="B22" s="237" t="inlineStr">
        <is>
          <t>M12</t>
        </is>
      </c>
      <c r="C22" s="237" t="n"/>
      <c r="D22" s="237" t="n"/>
      <c r="E22" s="237" t="n"/>
      <c r="F22" s="220" t="n"/>
      <c r="G22" s="393" t="n"/>
      <c r="H22" s="394" t="n"/>
      <c r="I22" s="395" t="n"/>
      <c r="J22" s="396" t="n"/>
      <c r="K22" s="247" t="n"/>
      <c r="L22" s="246" t="n"/>
      <c r="M22" s="247" t="n"/>
      <c r="N22" s="394" t="n"/>
      <c r="O22" s="250" t="n"/>
      <c r="P22" s="234" t="n"/>
      <c r="Q22" s="258" t="n"/>
      <c r="R22" s="394" t="n"/>
      <c r="S22" s="254" t="n"/>
      <c r="T22" s="248" t="n"/>
      <c r="U22" s="246" t="n"/>
      <c r="V22" s="255" t="n"/>
      <c r="W22" s="238" t="n"/>
      <c r="X22" s="396">
        <f>(U22/($U$2/$U$3))</f>
        <v/>
      </c>
      <c r="Y22" s="396">
        <f>(V22/($V$2/$V$3))</f>
        <v/>
      </c>
      <c r="Z22" s="396">
        <f>(W22/($W$2/$W$3))</f>
        <v/>
      </c>
      <c r="AA22" s="396">
        <f>(Y22)/SQRT(((Z22+X22)/2))</f>
        <v/>
      </c>
      <c r="AB22" s="396">
        <f>IF(AA22&lt;3,"NINGUNO",IF(AA22&lt;=9,"LEVE O MODERADO","SEVERO"))</f>
        <v/>
      </c>
      <c r="AC22" s="253" t="inlineStr">
        <is>
          <t>-</t>
        </is>
      </c>
      <c r="AD22" s="253" t="inlineStr">
        <is>
          <t>-</t>
        </is>
      </c>
      <c r="AE22" s="253" t="inlineStr">
        <is>
          <t>-</t>
        </is>
      </c>
    </row>
    <row r="23" ht="15.75" customFormat="1" customHeight="1" s="301" thickBot="1">
      <c r="B23" s="265" t="inlineStr">
        <is>
          <t>M13</t>
        </is>
      </c>
      <c r="C23" s="265" t="n"/>
      <c r="D23" s="265" t="n"/>
      <c r="E23" s="265" t="n"/>
      <c r="F23" s="266" t="n"/>
      <c r="G23" s="400" t="n"/>
      <c r="H23" s="392" t="n"/>
      <c r="I23" s="401" t="n"/>
      <c r="J23" s="391" t="n"/>
      <c r="K23" s="272" t="n"/>
      <c r="L23" s="272" t="n"/>
      <c r="M23" s="271" t="n"/>
      <c r="N23" s="392" t="n"/>
      <c r="O23" s="274" t="n"/>
      <c r="P23" s="275" t="n"/>
      <c r="Q23" s="283" t="n"/>
      <c r="R23" s="392" t="n"/>
      <c r="S23" s="276" t="n"/>
      <c r="T23" s="277" t="n"/>
      <c r="U23" s="272" t="n"/>
      <c r="V23" s="278" t="n"/>
      <c r="W23" s="279" t="n"/>
      <c r="X23" s="391">
        <f>(U23/($U$2/$U$3))</f>
        <v/>
      </c>
      <c r="Y23" s="391">
        <f>(V23/($V$2/$V$3))</f>
        <v/>
      </c>
      <c r="Z23" s="391">
        <f>(W23/($W$2/$W$3))</f>
        <v/>
      </c>
      <c r="AA23" s="391">
        <f>(Y23)/SQRT(((Z23+X23)/2))</f>
        <v/>
      </c>
      <c r="AB23" s="391">
        <f>IF(AA23&lt;3,"NINGUNO",IF(AA23&lt;=9,"LEVE O MODERADO","SEVERO"))</f>
        <v/>
      </c>
      <c r="AC23" s="280" t="n">
        <v>20</v>
      </c>
      <c r="AD23" s="281" t="n">
        <v>0</v>
      </c>
      <c r="AE23" s="281" t="n">
        <v>0</v>
      </c>
    </row>
    <row r="24" ht="15.75" customFormat="1" customHeight="1" s="302" thickBot="1">
      <c r="B24" s="237" t="inlineStr">
        <is>
          <t>M14</t>
        </is>
      </c>
      <c r="C24" s="237" t="n"/>
      <c r="D24" s="237" t="n"/>
      <c r="E24" s="237" t="n"/>
      <c r="F24" s="220" t="n"/>
      <c r="G24" s="393" t="n"/>
      <c r="H24" s="394" t="n"/>
      <c r="I24" s="395" t="n"/>
      <c r="J24" s="396" t="n"/>
      <c r="K24" s="246" t="n"/>
      <c r="L24" s="246" t="n"/>
      <c r="M24" s="247" t="n"/>
      <c r="N24" s="394" t="n"/>
      <c r="O24" s="250" t="n"/>
      <c r="P24" s="234" t="n"/>
      <c r="Q24" s="258" t="n"/>
      <c r="R24" s="394" t="n"/>
      <c r="S24" s="254" t="n"/>
      <c r="T24" s="248" t="n"/>
      <c r="U24" s="246" t="n"/>
      <c r="V24" s="255" t="n"/>
      <c r="W24" s="238" t="n"/>
      <c r="X24" s="396">
        <f>(U24/($U$2/$U$3))</f>
        <v/>
      </c>
      <c r="Y24" s="396">
        <f>(V24/($V$2/$V$3))</f>
        <v/>
      </c>
      <c r="Z24" s="396">
        <f>(W24/($W$2/$W$3))</f>
        <v/>
      </c>
      <c r="AA24" s="396">
        <f>(Y24)/SQRT(((Z24+X24)/2))</f>
        <v/>
      </c>
      <c r="AB24" s="396">
        <f>IF(AA24&lt;3,"NINGUNO",IF(AA24&lt;=9,"LEVE O MODERADO","SEVERO"))</f>
        <v/>
      </c>
      <c r="AC24" s="264" t="inlineStr">
        <is>
          <t>-</t>
        </is>
      </c>
      <c r="AD24" s="238" t="inlineStr">
        <is>
          <t>-</t>
        </is>
      </c>
      <c r="AE24" s="238" t="inlineStr">
        <is>
          <t>-</t>
        </is>
      </c>
    </row>
    <row r="25" ht="15.75" customFormat="1" customHeight="1" s="301" thickBot="1">
      <c r="B25" s="265" t="inlineStr">
        <is>
          <t>M15</t>
        </is>
      </c>
      <c r="C25" s="265" t="n"/>
      <c r="D25" s="265" t="n"/>
      <c r="E25" s="265" t="n"/>
      <c r="F25" s="266" t="n"/>
      <c r="G25" s="403" t="n"/>
      <c r="H25" s="392" t="n"/>
      <c r="I25" s="401" t="n"/>
      <c r="J25" s="404" t="n"/>
      <c r="K25" s="392" t="n"/>
      <c r="L25" s="272" t="n"/>
      <c r="M25" s="271" t="n"/>
      <c r="N25" s="392" t="n"/>
      <c r="O25" s="392" t="n"/>
      <c r="P25" s="275" t="n"/>
      <c r="Q25" s="283" t="n"/>
      <c r="R25" s="392" t="n"/>
      <c r="S25" s="276" t="n"/>
      <c r="T25" s="277" t="n"/>
      <c r="U25" s="272" t="n"/>
      <c r="V25" s="278" t="n"/>
      <c r="W25" s="279" t="n"/>
      <c r="X25" s="391">
        <f>(U25/($U$2/$U$3))</f>
        <v/>
      </c>
      <c r="Y25" s="391">
        <f>(V25/($V$2/$V$3))</f>
        <v/>
      </c>
      <c r="Z25" s="391">
        <f>(W25/($W$2/$W$3))</f>
        <v/>
      </c>
      <c r="AA25" s="391">
        <f>(Y25)/SQRT(((Z25+X25)/2))</f>
        <v/>
      </c>
      <c r="AB25" s="391">
        <f>IF(AA25&lt;3,"NINGUNO",IF(AA25&lt;=9,"LEVE O MODERADO","SEVERO"))</f>
        <v/>
      </c>
      <c r="AC25" s="280" t="n">
        <v>50</v>
      </c>
      <c r="AD25" s="281" t="n">
        <v>0</v>
      </c>
      <c r="AE25" s="281" t="n">
        <v>0</v>
      </c>
    </row>
    <row r="26" ht="15.75" customFormat="1" customHeight="1" s="301" thickBot="1">
      <c r="B26" s="265" t="inlineStr">
        <is>
          <t>M16</t>
        </is>
      </c>
      <c r="C26" s="265" t="n"/>
      <c r="D26" s="265" t="n"/>
      <c r="E26" s="265" t="n"/>
      <c r="F26" s="266" t="n"/>
      <c r="G26" s="405" t="n"/>
      <c r="H26" s="406" t="n"/>
      <c r="I26" s="407" t="n"/>
      <c r="J26" s="406" t="n"/>
      <c r="K26" s="271" t="n"/>
      <c r="L26" s="272" t="n"/>
      <c r="M26" s="271" t="n"/>
      <c r="N26" s="406" t="n"/>
      <c r="O26" s="392" t="n"/>
      <c r="P26" s="275" t="n"/>
      <c r="Q26" s="283" t="n"/>
      <c r="R26" s="392" t="n"/>
      <c r="S26" s="276" t="n"/>
      <c r="T26" s="277" t="n"/>
      <c r="U26" s="272" t="n"/>
      <c r="V26" s="278" t="n"/>
      <c r="W26" s="279" t="n"/>
      <c r="X26" s="391">
        <f>(U26/($U$2/$U$3))</f>
        <v/>
      </c>
      <c r="Y26" s="391">
        <f>(V26/($V$2/$V$3))</f>
        <v/>
      </c>
      <c r="Z26" s="391">
        <f>(W26/($W$2/$W$3))</f>
        <v/>
      </c>
      <c r="AA26" s="391">
        <f>(Y26)/SQRT(((Z26+X26)/2))</f>
        <v/>
      </c>
      <c r="AB26" s="391">
        <f>IF(AA26&lt;3,"NINGUNO",IF(AA26&lt;=9,"LEVE O MODERADO","SEVERO"))</f>
        <v/>
      </c>
      <c r="AC26" s="280" t="n">
        <v>80</v>
      </c>
      <c r="AD26" s="280" t="n">
        <v>1</v>
      </c>
      <c r="AE26" s="280" t="n">
        <v>1</v>
      </c>
    </row>
    <row r="27" ht="15.75" customFormat="1" customHeight="1" s="302" thickBot="1">
      <c r="B27" s="237" t="inlineStr">
        <is>
          <t>M17</t>
        </is>
      </c>
      <c r="C27" s="237" t="n"/>
      <c r="D27" s="237" t="n"/>
      <c r="E27" s="237" t="n"/>
      <c r="F27" s="220" t="n"/>
      <c r="G27" s="393" t="n"/>
      <c r="H27" s="394" t="n"/>
      <c r="I27" s="393" t="n"/>
      <c r="J27" s="394" t="n"/>
      <c r="K27" s="247" t="n"/>
      <c r="L27" s="246" t="n"/>
      <c r="M27" s="247" t="n"/>
      <c r="N27" s="394" t="n"/>
      <c r="O27" s="394" t="n"/>
      <c r="P27" s="234" t="n"/>
      <c r="Q27" s="258" t="n"/>
      <c r="R27" s="394" t="n"/>
      <c r="S27" s="254" t="n"/>
      <c r="T27" s="248" t="n"/>
      <c r="U27" s="246" t="n"/>
      <c r="V27" s="255" t="n"/>
      <c r="W27" s="238" t="n"/>
      <c r="X27" s="396">
        <f>(U27/($U$2/$U$3))</f>
        <v/>
      </c>
      <c r="Y27" s="396">
        <f>(V27/($V$2/$V$3))</f>
        <v/>
      </c>
      <c r="Z27" s="396">
        <f>(W27/($W$2/$W$3))</f>
        <v/>
      </c>
      <c r="AA27" s="396">
        <f>(Y27)/SQRT(((Z27+X27)/2))</f>
        <v/>
      </c>
      <c r="AB27" s="396">
        <f>IF(AA27&lt;3,"NINGUNO",IF(AA27&lt;=9,"LEVE O MODERADO","SEVERO"))</f>
        <v/>
      </c>
      <c r="AC27" s="253" t="inlineStr">
        <is>
          <t>-</t>
        </is>
      </c>
      <c r="AD27" s="253" t="inlineStr">
        <is>
          <t>-</t>
        </is>
      </c>
      <c r="AE27" s="253" t="inlineStr">
        <is>
          <t>-</t>
        </is>
      </c>
    </row>
    <row r="28" ht="15.75" customFormat="1" customHeight="1" s="301" thickBot="1">
      <c r="B28" s="265" t="inlineStr">
        <is>
          <t>M18</t>
        </is>
      </c>
      <c r="C28" s="265" t="n"/>
      <c r="D28" s="265" t="n"/>
      <c r="E28" s="265" t="n"/>
      <c r="F28" s="266" t="n"/>
      <c r="G28" s="400" t="n"/>
      <c r="H28" s="392" t="n"/>
      <c r="I28" s="401" t="n"/>
      <c r="J28" s="391" t="n"/>
      <c r="K28" s="272" t="n"/>
      <c r="L28" s="272" t="n"/>
      <c r="M28" s="271" t="n"/>
      <c r="N28" s="392" t="n"/>
      <c r="O28" s="392" t="n"/>
      <c r="P28" s="275" t="n"/>
      <c r="Q28" s="283" t="n"/>
      <c r="R28" s="392" t="n"/>
      <c r="S28" s="276" t="n"/>
      <c r="T28" s="277" t="n"/>
      <c r="U28" s="272" t="n"/>
      <c r="V28" s="278" t="n"/>
      <c r="W28" s="279" t="n"/>
      <c r="X28" s="391">
        <f>(U28/($U$2/$U$3))</f>
        <v/>
      </c>
      <c r="Y28" s="391">
        <f>(V28/($V$2/$V$3))</f>
        <v/>
      </c>
      <c r="Z28" s="391">
        <f>(W28/($W$2/$W$3))</f>
        <v/>
      </c>
      <c r="AA28" s="391">
        <f>(Y28)/SQRT(((Z28+X28)/2))</f>
        <v/>
      </c>
      <c r="AB28" s="391">
        <f>IF(AA28&lt;3,"NINGUNO",IF(AA28&lt;=9,"LEVE O MODERADO","SEVERO"))</f>
        <v/>
      </c>
      <c r="AC28" s="280" t="n">
        <v>100</v>
      </c>
      <c r="AD28" s="279" t="n">
        <v>0</v>
      </c>
      <c r="AE28" s="279" t="n">
        <v>0</v>
      </c>
    </row>
    <row r="29" ht="15.75" customFormat="1" customHeight="1" s="301" thickBot="1">
      <c r="B29" s="265" t="inlineStr">
        <is>
          <t>M19</t>
        </is>
      </c>
      <c r="C29" s="265" t="n"/>
      <c r="D29" s="265" t="n"/>
      <c r="E29" s="265" t="n"/>
      <c r="F29" s="266" t="n"/>
      <c r="G29" s="400" t="n"/>
      <c r="H29" s="392" t="n"/>
      <c r="I29" s="400" t="n"/>
      <c r="J29" s="391" t="n"/>
      <c r="K29" s="271" t="n"/>
      <c r="L29" s="391" t="n"/>
      <c r="M29" s="271" t="n"/>
      <c r="N29" s="392" t="n"/>
      <c r="O29" s="392" t="n"/>
      <c r="P29" s="275" t="n"/>
      <c r="Q29" s="283" t="n"/>
      <c r="R29" s="392" t="n"/>
      <c r="S29" s="276" t="n"/>
      <c r="T29" s="277" t="n"/>
      <c r="U29" s="272" t="n"/>
      <c r="V29" s="278" t="n"/>
      <c r="W29" s="279" t="n"/>
      <c r="X29" s="391">
        <f>(U29/($U$2/$U$3))</f>
        <v/>
      </c>
      <c r="Y29" s="391">
        <f>(V29/($V$2/$V$3))</f>
        <v/>
      </c>
      <c r="Z29" s="391">
        <f>(W29/($W$2/$W$3))</f>
        <v/>
      </c>
      <c r="AA29" s="391">
        <f>(Y29)/SQRT(((Z29+X29)/2))</f>
        <v/>
      </c>
      <c r="AB29" s="391">
        <f>IF(AA29&lt;3,"NINGUNO",IF(AA29&lt;=9,"LEVE O MODERADO","SEVERO"))</f>
        <v/>
      </c>
      <c r="AC29" s="280" t="n">
        <v>75</v>
      </c>
      <c r="AD29" s="279" t="n">
        <v>0</v>
      </c>
      <c r="AE29" s="279" t="n">
        <v>0</v>
      </c>
    </row>
    <row r="30" ht="15.75" customFormat="1" customHeight="1" s="302" thickBot="1">
      <c r="B30" s="237" t="inlineStr">
        <is>
          <t>M20</t>
        </is>
      </c>
      <c r="C30" s="237" t="n"/>
      <c r="D30" s="237" t="n"/>
      <c r="E30" s="237" t="n"/>
      <c r="F30" s="220" t="n"/>
      <c r="G30" s="393" t="n"/>
      <c r="H30" s="394" t="n"/>
      <c r="I30" s="393" t="n"/>
      <c r="J30" s="396" t="n"/>
      <c r="K30" s="246" t="n"/>
      <c r="L30" s="246" t="n"/>
      <c r="M30" s="247" t="n"/>
      <c r="N30" s="394" t="n"/>
      <c r="O30" s="394" t="n"/>
      <c r="P30" s="234" t="n"/>
      <c r="Q30" s="258" t="n"/>
      <c r="R30" s="394" t="n"/>
      <c r="S30" s="254" t="n"/>
      <c r="T30" s="248" t="n"/>
      <c r="U30" s="246" t="n"/>
      <c r="V30" s="255" t="n"/>
      <c r="W30" s="238" t="n"/>
      <c r="X30" s="396">
        <f>(U30/($U$2/$U$3))</f>
        <v/>
      </c>
      <c r="Y30" s="396">
        <f>(V30/($V$2/$V$3))</f>
        <v/>
      </c>
      <c r="Z30" s="396">
        <f>(W30/($W$2/$W$3))</f>
        <v/>
      </c>
      <c r="AA30" s="396">
        <f>(Y30)/SQRT(((Z30+X30)/2))</f>
        <v/>
      </c>
      <c r="AB30" s="396">
        <f>IF(AA30&lt;3,"NINGUNO",IF(AA30&lt;=9,"LEVE O MODERADO","SEVERO"))</f>
        <v/>
      </c>
      <c r="AC30" s="253" t="inlineStr">
        <is>
          <t>-</t>
        </is>
      </c>
      <c r="AD30" s="253" t="inlineStr">
        <is>
          <t>-</t>
        </is>
      </c>
      <c r="AE30" s="253" t="inlineStr">
        <is>
          <t>-</t>
        </is>
      </c>
    </row>
    <row r="31" ht="15.75" customFormat="1" customHeight="1" s="301" thickBot="1">
      <c r="B31" s="265" t="inlineStr">
        <is>
          <t>M21</t>
        </is>
      </c>
      <c r="C31" s="265" t="n"/>
      <c r="D31" s="265" t="n"/>
      <c r="E31" s="265" t="n"/>
      <c r="F31" s="266" t="n"/>
      <c r="G31" s="400" t="n"/>
      <c r="H31" s="392" t="n"/>
      <c r="I31" s="400" t="n"/>
      <c r="J31" s="391" t="n"/>
      <c r="K31" s="271" t="n"/>
      <c r="L31" s="272" t="n"/>
      <c r="M31" s="271" t="n"/>
      <c r="N31" s="392" t="n"/>
      <c r="O31" s="274" t="n"/>
      <c r="P31" s="275" t="n"/>
      <c r="Q31" s="283" t="n"/>
      <c r="R31" s="392" t="n"/>
      <c r="S31" s="276" t="n"/>
      <c r="T31" s="277" t="n"/>
      <c r="U31" s="272" t="n"/>
      <c r="V31" s="278" t="n"/>
      <c r="W31" s="279" t="n"/>
      <c r="X31" s="391">
        <f>(U31/($U$2/$U$3))</f>
        <v/>
      </c>
      <c r="Y31" s="391">
        <f>(V31/($V$2/$V$3))</f>
        <v/>
      </c>
      <c r="Z31" s="391">
        <f>(W31/($W$2/$W$3))</f>
        <v/>
      </c>
      <c r="AA31" s="391">
        <f>(Y31)/SQRT(((Z31+X31)/2))</f>
        <v/>
      </c>
      <c r="AB31" s="391">
        <f>IF(AA31&lt;3,"NINGUNO",IF(AA31&lt;=9,"LEVE O MODERADO","SEVERO"))</f>
        <v/>
      </c>
      <c r="AC31" s="280" t="n">
        <v>50</v>
      </c>
      <c r="AD31" s="280" t="n">
        <v>2</v>
      </c>
      <c r="AE31" s="279" t="n">
        <v>0</v>
      </c>
    </row>
    <row r="32" ht="15.75" customFormat="1" customHeight="1" s="301" thickBot="1">
      <c r="B32" s="265" t="inlineStr">
        <is>
          <t>M22</t>
        </is>
      </c>
      <c r="C32" s="265" t="n"/>
      <c r="D32" s="265" t="n"/>
      <c r="E32" s="265" t="n"/>
      <c r="F32" s="266" t="n"/>
      <c r="G32" s="400" t="n"/>
      <c r="H32" s="392" t="n"/>
      <c r="I32" s="400" t="n"/>
      <c r="J32" s="391" t="n"/>
      <c r="K32" s="272" t="n"/>
      <c r="L32" s="272" t="n"/>
      <c r="M32" s="271" t="n"/>
      <c r="N32" s="392" t="n"/>
      <c r="O32" s="274" t="n"/>
      <c r="P32" s="275" t="n"/>
      <c r="Q32" s="402" t="n"/>
      <c r="R32" s="392" t="n"/>
      <c r="S32" s="276" t="n"/>
      <c r="T32" s="277" t="n"/>
      <c r="U32" s="272" t="n"/>
      <c r="V32" s="278" t="n"/>
      <c r="W32" s="279" t="n"/>
      <c r="X32" s="391">
        <f>(U32/($U$2/$U$3))</f>
        <v/>
      </c>
      <c r="Y32" s="391">
        <f>(V32/($V$2/$V$3))</f>
        <v/>
      </c>
      <c r="Z32" s="391">
        <f>(W32/($W$2/$W$3))</f>
        <v/>
      </c>
      <c r="AA32" s="391">
        <f>(Y32)/SQRT(((Z32+X32)/2))</f>
        <v/>
      </c>
      <c r="AB32" s="391">
        <f>IF(AA32&lt;3,"NINGUNO",IF(AA32&lt;=9,"LEVE O MODERADO","SEVERO"))</f>
        <v/>
      </c>
      <c r="AC32" s="280" t="n">
        <v>20</v>
      </c>
      <c r="AD32" s="279" t="n">
        <v>0</v>
      </c>
      <c r="AE32" s="279" t="n">
        <v>0</v>
      </c>
    </row>
    <row r="33" ht="15.75" customFormat="1" customHeight="1" s="301" thickBot="1">
      <c r="B33" s="265" t="inlineStr">
        <is>
          <t>M23</t>
        </is>
      </c>
      <c r="C33" s="265" t="n"/>
      <c r="D33" s="265" t="n"/>
      <c r="E33" s="265" t="n"/>
      <c r="F33" s="266" t="n"/>
      <c r="G33" s="400" t="n"/>
      <c r="H33" s="392" t="n"/>
      <c r="I33" s="400" t="n"/>
      <c r="J33" s="391" t="n"/>
      <c r="K33" s="271" t="n"/>
      <c r="L33" s="272" t="n"/>
      <c r="M33" s="271" t="n"/>
      <c r="N33" s="392" t="n"/>
      <c r="O33" s="274" t="n"/>
      <c r="P33" s="275" t="n"/>
      <c r="Q33" s="402" t="n"/>
      <c r="R33" s="392" t="n"/>
      <c r="S33" s="276" t="n"/>
      <c r="T33" s="277" t="n"/>
      <c r="U33" s="272" t="n"/>
      <c r="V33" s="278" t="n"/>
      <c r="W33" s="279" t="n"/>
      <c r="X33" s="391">
        <f>(U33/($U$2/$U$3))</f>
        <v/>
      </c>
      <c r="Y33" s="391">
        <f>(V33/($V$2/$V$3))</f>
        <v/>
      </c>
      <c r="Z33" s="391">
        <f>(W33/($W$2/$W$3))</f>
        <v/>
      </c>
      <c r="AA33" s="391">
        <f>(Y33)/SQRT(((Z33+X33)/2))</f>
        <v/>
      </c>
      <c r="AB33" s="391">
        <f>IF(AA33&lt;3,"NINGUNO",IF(AA33&lt;=9,"LEVE O MODERADO","SEVERO"))</f>
        <v/>
      </c>
      <c r="AC33" s="280" t="n">
        <v>100</v>
      </c>
      <c r="AD33" s="280" t="n">
        <v>25</v>
      </c>
      <c r="AE33" s="280" t="n">
        <v>2</v>
      </c>
    </row>
    <row r="34" ht="15.75" customFormat="1" customHeight="1" s="302" thickBot="1">
      <c r="A34" s="408" t="n"/>
      <c r="B34" s="237" t="inlineStr">
        <is>
          <t>M24</t>
        </is>
      </c>
      <c r="C34" s="237" t="n"/>
      <c r="D34" s="237" t="n"/>
      <c r="E34" s="237" t="n"/>
      <c r="F34" s="220" t="n"/>
      <c r="G34" s="393" t="n"/>
      <c r="H34" s="394" t="n"/>
      <c r="I34" s="393" t="n"/>
      <c r="J34" s="396" t="n"/>
      <c r="K34" s="247" t="n"/>
      <c r="L34" s="246" t="n"/>
      <c r="M34" s="247" t="n"/>
      <c r="N34" s="250" t="n"/>
      <c r="O34" s="250" t="n"/>
      <c r="P34" s="234" t="n"/>
      <c r="Q34" s="258" t="n"/>
      <c r="R34" s="394" t="n"/>
      <c r="S34" s="254" t="n"/>
      <c r="T34" s="248" t="n"/>
      <c r="U34" s="246" t="n"/>
      <c r="V34" s="255" t="n"/>
      <c r="W34" s="238" t="n"/>
      <c r="X34" s="396">
        <f>(U34/($U$2/$U$3))</f>
        <v/>
      </c>
      <c r="Y34" s="396">
        <f>(V34/($V$2/$V$3))</f>
        <v/>
      </c>
      <c r="Z34" s="396">
        <f>(W34/($W$2/$W$3))</f>
        <v/>
      </c>
      <c r="AA34" s="396">
        <f>(Y34)/SQRT(((Z34+X34)/2))</f>
        <v/>
      </c>
      <c r="AB34" s="396">
        <f>IF(AA34&lt;3,"NINGUNO",IF(AA34&lt;=9,"LEVE O MODERADO","SEVERO"))</f>
        <v/>
      </c>
      <c r="AC34" s="253" t="inlineStr">
        <is>
          <t>-</t>
        </is>
      </c>
      <c r="AD34" s="253" t="inlineStr">
        <is>
          <t>-</t>
        </is>
      </c>
      <c r="AE34" s="253" t="inlineStr">
        <is>
          <t>-</t>
        </is>
      </c>
    </row>
    <row r="35" ht="15.75" customFormat="1" customHeight="1" s="301" thickBot="1">
      <c r="B35" s="265" t="inlineStr">
        <is>
          <t>M25</t>
        </is>
      </c>
      <c r="C35" s="265" t="n"/>
      <c r="D35" s="265" t="n"/>
      <c r="E35" s="265" t="n"/>
      <c r="F35" s="266" t="n"/>
      <c r="G35" s="400" t="n"/>
      <c r="H35" s="392" t="n"/>
      <c r="I35" s="400" t="n"/>
      <c r="J35" s="391" t="n"/>
      <c r="K35" s="271" t="n"/>
      <c r="L35" s="272" t="n"/>
      <c r="M35" s="271" t="n"/>
      <c r="N35" s="392" t="n"/>
      <c r="O35" s="274" t="n"/>
      <c r="P35" s="275" t="n"/>
      <c r="Q35" s="402" t="n"/>
      <c r="R35" s="392" t="n"/>
      <c r="S35" s="276" t="n"/>
      <c r="T35" s="277" t="n"/>
      <c r="U35" s="272" t="n"/>
      <c r="V35" s="278" t="n"/>
      <c r="W35" s="279" t="n"/>
      <c r="X35" s="391">
        <f>(U35/($U$2/$U$3))</f>
        <v/>
      </c>
      <c r="Y35" s="391">
        <f>(V35/($V$2/$V$3))</f>
        <v/>
      </c>
      <c r="Z35" s="391">
        <f>(W35/($W$2/$W$3))</f>
        <v/>
      </c>
      <c r="AA35" s="391">
        <f>(Y35)/SQRT(((Z35+X35)/2))</f>
        <v/>
      </c>
      <c r="AB35" s="391">
        <f>IF(AA35&lt;3,"NINGUNO",IF(AA35&lt;=9,"LEVE O MODERADO","SEVERO"))</f>
        <v/>
      </c>
      <c r="AC35" s="280" t="n">
        <v>100</v>
      </c>
      <c r="AD35" s="281" t="n">
        <v>0</v>
      </c>
      <c r="AE35" s="281" t="n">
        <v>0</v>
      </c>
    </row>
    <row r="36" ht="15.75" customFormat="1" customHeight="1" s="301" thickBot="1">
      <c r="B36" s="265" t="inlineStr">
        <is>
          <t>M26</t>
        </is>
      </c>
      <c r="C36" s="265" t="n"/>
      <c r="D36" s="265" t="n"/>
      <c r="E36" s="265" t="n"/>
      <c r="F36" s="266" t="n"/>
      <c r="G36" s="400" t="n"/>
      <c r="H36" s="392" t="n"/>
      <c r="I36" s="400" t="n"/>
      <c r="J36" s="391" t="n"/>
      <c r="K36" s="271" t="n"/>
      <c r="L36" s="272" t="n"/>
      <c r="M36" s="271" t="n"/>
      <c r="N36" s="392" t="n"/>
      <c r="O36" s="392" t="n"/>
      <c r="P36" s="275" t="n"/>
      <c r="Q36" s="283" t="n"/>
      <c r="R36" s="392" t="n"/>
      <c r="S36" s="276" t="n"/>
      <c r="T36" s="277" t="n"/>
      <c r="U36" s="272" t="n"/>
      <c r="V36" s="278" t="n"/>
      <c r="W36" s="279" t="n"/>
      <c r="X36" s="391">
        <f>(U36/($U$2/$U$3))</f>
        <v/>
      </c>
      <c r="Y36" s="391">
        <f>(V36/($V$2/$V$3))</f>
        <v/>
      </c>
      <c r="Z36" s="391">
        <f>(W36/($W$2/$W$3))</f>
        <v/>
      </c>
      <c r="AA36" s="391">
        <f>(Y36)/SQRT(((Z36+X36)/2))</f>
        <v/>
      </c>
      <c r="AB36" s="391">
        <f>IF(AA36&lt;3,"NINGUNO",IF(AA36&lt;=9,"LEVE O MODERADO","SEVERO"))</f>
        <v/>
      </c>
      <c r="AC36" s="280" t="n">
        <v>100</v>
      </c>
      <c r="AD36" s="281" t="n">
        <v>0</v>
      </c>
      <c r="AE36" s="281" t="n">
        <v>0</v>
      </c>
    </row>
    <row r="37" ht="15.75" customFormat="1" customHeight="1" s="302" thickBot="1">
      <c r="B37" s="232" t="inlineStr">
        <is>
          <t>M27</t>
        </is>
      </c>
      <c r="C37" s="237" t="n"/>
      <c r="D37" s="237" t="n"/>
      <c r="E37" s="237" t="n"/>
      <c r="F37" s="220" t="n"/>
      <c r="G37" s="393" t="n"/>
      <c r="H37" s="394" t="n"/>
      <c r="I37" s="393" t="n"/>
      <c r="J37" s="396" t="n"/>
      <c r="K37" s="247" t="n"/>
      <c r="L37" s="246" t="n"/>
      <c r="M37" s="247" t="n"/>
      <c r="N37" s="394" t="n"/>
      <c r="O37" s="394" t="n"/>
      <c r="P37" s="234" t="n"/>
      <c r="Q37" s="258" t="n"/>
      <c r="R37" s="394" t="n"/>
      <c r="S37" s="254" t="n"/>
      <c r="T37" s="248" t="n"/>
      <c r="U37" s="246" t="n"/>
      <c r="V37" s="255" t="n"/>
      <c r="W37" s="238" t="n"/>
      <c r="X37" s="396">
        <f>(U37/($U$2/$U$3))</f>
        <v/>
      </c>
      <c r="Y37" s="396">
        <f>(V37/($V$2/$V$3))</f>
        <v/>
      </c>
      <c r="Z37" s="396">
        <f>(W37/($W$2/$W$3))</f>
        <v/>
      </c>
      <c r="AA37" s="396">
        <f>(Y37)/SQRT(((Z37+X37)/2))</f>
        <v/>
      </c>
      <c r="AB37" s="396">
        <f>IF(AA37&lt;3,"NINGUNO",IF(AA37&lt;=9,"LEVE O MODERADO","SEVERO"))</f>
        <v/>
      </c>
      <c r="AC37" s="253" t="inlineStr">
        <is>
          <t>-</t>
        </is>
      </c>
      <c r="AD37" s="253" t="inlineStr">
        <is>
          <t>-</t>
        </is>
      </c>
      <c r="AE37" s="253" t="inlineStr">
        <is>
          <t>-</t>
        </is>
      </c>
    </row>
    <row r="38" ht="15.75" customFormat="1" customHeight="1" s="302" thickBot="1">
      <c r="B38" s="237" t="inlineStr">
        <is>
          <t>M28</t>
        </is>
      </c>
      <c r="C38" s="237" t="n"/>
      <c r="D38" s="237" t="n"/>
      <c r="E38" s="237" t="n"/>
      <c r="F38" s="220" t="n"/>
      <c r="G38" s="393" t="n"/>
      <c r="H38" s="394" t="n"/>
      <c r="I38" s="393" t="n"/>
      <c r="J38" s="396" t="n"/>
      <c r="K38" s="247" t="n"/>
      <c r="L38" s="246" t="n"/>
      <c r="M38" s="247" t="n"/>
      <c r="N38" s="394" t="n"/>
      <c r="O38" s="394" t="n"/>
      <c r="P38" s="234" t="n"/>
      <c r="Q38" s="258" t="n"/>
      <c r="R38" s="394" t="n"/>
      <c r="S38" s="254" t="n"/>
      <c r="T38" s="248" t="n"/>
      <c r="U38" s="246" t="n"/>
      <c r="V38" s="255" t="n"/>
      <c r="W38" s="238" t="n"/>
      <c r="X38" s="396">
        <f>(U38/($U$2/$U$3))</f>
        <v/>
      </c>
      <c r="Y38" s="396">
        <f>(V38/($V$2/$V$3))</f>
        <v/>
      </c>
      <c r="Z38" s="396">
        <f>(W38/($W$2/$W$3))</f>
        <v/>
      </c>
      <c r="AA38" s="396">
        <f>(Y38)/SQRT(((Z38+X38)/2))</f>
        <v/>
      </c>
      <c r="AB38" s="396">
        <f>IF(AA38&lt;3,"NINGUNO",IF(AA38&lt;=9,"LEVE O MODERADO","SEVERO"))</f>
        <v/>
      </c>
      <c r="AC38" s="253" t="inlineStr">
        <is>
          <t>-</t>
        </is>
      </c>
      <c r="AD38" s="253" t="inlineStr">
        <is>
          <t>-</t>
        </is>
      </c>
      <c r="AE38" s="253" t="inlineStr">
        <is>
          <t>-</t>
        </is>
      </c>
    </row>
    <row r="39" ht="15.75" customFormat="1" customHeight="1" s="301" thickBot="1">
      <c r="B39" s="265" t="inlineStr">
        <is>
          <t>M29</t>
        </is>
      </c>
      <c r="C39" s="265" t="n"/>
      <c r="D39" s="265" t="n"/>
      <c r="E39" s="265" t="n"/>
      <c r="F39" s="266" t="n"/>
      <c r="G39" s="400" t="n"/>
      <c r="H39" s="392" t="n"/>
      <c r="I39" s="400" t="n"/>
      <c r="J39" s="391" t="n"/>
      <c r="K39" s="271" t="n"/>
      <c r="L39" s="272" t="n"/>
      <c r="M39" s="271" t="n"/>
      <c r="N39" s="392" t="n"/>
      <c r="O39" s="274" t="n"/>
      <c r="P39" s="275" t="n"/>
      <c r="Q39" s="283" t="n"/>
      <c r="R39" s="392" t="n"/>
      <c r="S39" s="276" t="n"/>
      <c r="T39" s="277" t="n"/>
      <c r="U39" s="272" t="n"/>
      <c r="V39" s="278" t="n"/>
      <c r="W39" s="279" t="n"/>
      <c r="X39" s="391">
        <f>(U39/($U$2/$U$3))</f>
        <v/>
      </c>
      <c r="Y39" s="391">
        <f>(V39/($V$2/$V$3))</f>
        <v/>
      </c>
      <c r="Z39" s="391">
        <f>(W39/($W$2/$W$3))</f>
        <v/>
      </c>
      <c r="AA39" s="391">
        <f>(Y39)/SQRT(((Z39+X39)/2))</f>
        <v/>
      </c>
      <c r="AB39" s="391">
        <f>IF(AA39&lt;3,"NINGUNO",IF(AA39&lt;=9,"LEVE O MODERADO","SEVERO"))</f>
        <v/>
      </c>
      <c r="AC39" s="280" t="n">
        <v>5</v>
      </c>
      <c r="AD39" s="280" t="n">
        <v>1</v>
      </c>
      <c r="AE39" s="280" t="n">
        <v>1</v>
      </c>
    </row>
    <row r="40" ht="15.75" customFormat="1" customHeight="1" s="302" thickBot="1">
      <c r="B40" s="237" t="inlineStr">
        <is>
          <t>M30</t>
        </is>
      </c>
      <c r="C40" s="237" t="n"/>
      <c r="D40" s="237" t="n"/>
      <c r="E40" s="237" t="n"/>
      <c r="F40" s="220" t="n"/>
      <c r="G40" s="393" t="n"/>
      <c r="H40" s="394" t="n"/>
      <c r="I40" s="393" t="n"/>
      <c r="J40" s="396" t="n"/>
      <c r="K40" s="247" t="n"/>
      <c r="L40" s="246" t="n"/>
      <c r="M40" s="247" t="n"/>
      <c r="N40" s="394" t="n"/>
      <c r="O40" s="394" t="n"/>
      <c r="P40" s="234" t="n"/>
      <c r="Q40" s="258" t="n"/>
      <c r="R40" s="394" t="n"/>
      <c r="S40" s="254" t="n"/>
      <c r="T40" s="248" t="n"/>
      <c r="U40" s="246" t="n"/>
      <c r="V40" s="255" t="n"/>
      <c r="W40" s="238" t="n"/>
      <c r="X40" s="396">
        <f>(U40/($U$2/$U$3))</f>
        <v/>
      </c>
      <c r="Y40" s="396">
        <f>(V40/($V$2/$V$3))</f>
        <v/>
      </c>
      <c r="Z40" s="396">
        <f>(W40/($W$2/$W$3))</f>
        <v/>
      </c>
      <c r="AA40" s="396">
        <f>(Y40)/SQRT(((Z40+X40)/2))</f>
        <v/>
      </c>
      <c r="AB40" s="396">
        <f>IF(AA40&lt;3,"NINGUNO",IF(AA40&lt;=9,"LEVE O MODERADO","SEVERO"))</f>
        <v/>
      </c>
      <c r="AC40" s="253" t="inlineStr">
        <is>
          <t>-</t>
        </is>
      </c>
      <c r="AD40" s="253" t="inlineStr">
        <is>
          <t>-</t>
        </is>
      </c>
      <c r="AE40" s="253" t="inlineStr">
        <is>
          <t>-</t>
        </is>
      </c>
    </row>
    <row r="41" ht="15.75" customFormat="1" customHeight="1" s="301" thickBot="1">
      <c r="B41" s="265" t="inlineStr">
        <is>
          <t>M31</t>
        </is>
      </c>
      <c r="C41" s="265" t="n"/>
      <c r="D41" s="265" t="n"/>
      <c r="E41" s="265" t="n"/>
      <c r="F41" s="266" t="n"/>
      <c r="G41" s="400" t="n"/>
      <c r="H41" s="392" t="n"/>
      <c r="I41" s="400" t="n"/>
      <c r="J41" s="391" t="n"/>
      <c r="K41" s="271" t="n"/>
      <c r="L41" s="272" t="n"/>
      <c r="M41" s="271" t="n"/>
      <c r="N41" s="392" t="n"/>
      <c r="O41" s="392" t="n"/>
      <c r="P41" s="275" t="n"/>
      <c r="Q41" s="283" t="n"/>
      <c r="R41" s="392" t="n"/>
      <c r="S41" s="276" t="n"/>
      <c r="T41" s="277" t="n"/>
      <c r="U41" s="272" t="n"/>
      <c r="V41" s="278" t="n"/>
      <c r="W41" s="279" t="n"/>
      <c r="X41" s="391">
        <f>(U41/($U$2/$U$3))</f>
        <v/>
      </c>
      <c r="Y41" s="391">
        <f>(V41/($V$2/$V$3))</f>
        <v/>
      </c>
      <c r="Z41" s="391">
        <f>(W41/($W$2/$W$3))</f>
        <v/>
      </c>
      <c r="AA41" s="391">
        <f>(Y41)/SQRT(((Z41+X41)/2))</f>
        <v/>
      </c>
      <c r="AB41" s="391">
        <f>IF(AA41&lt;3,"NINGUNO",IF(AA41&lt;=9,"LEVE O MODERADO","SEVERO"))</f>
        <v/>
      </c>
      <c r="AC41" s="280" t="n">
        <v>25</v>
      </c>
      <c r="AD41" s="281" t="n">
        <v>0</v>
      </c>
      <c r="AE41" s="281" t="n">
        <v>0</v>
      </c>
    </row>
    <row r="42" ht="15.75" customFormat="1" customHeight="1" s="302" thickBot="1">
      <c r="B42" s="237" t="inlineStr">
        <is>
          <t>M32</t>
        </is>
      </c>
      <c r="C42" s="237" t="n"/>
      <c r="D42" s="237" t="n"/>
      <c r="E42" s="237" t="n"/>
      <c r="F42" s="220" t="n"/>
      <c r="G42" s="393" t="n"/>
      <c r="H42" s="394" t="n"/>
      <c r="I42" s="393" t="n"/>
      <c r="J42" s="396" t="n"/>
      <c r="K42" s="247" t="n"/>
      <c r="L42" s="246" t="n"/>
      <c r="M42" s="247" t="n"/>
      <c r="N42" s="394" t="n"/>
      <c r="O42" s="250" t="n"/>
      <c r="P42" s="234" t="n"/>
      <c r="Q42" s="258" t="n"/>
      <c r="R42" s="394" t="n"/>
      <c r="S42" s="254" t="n"/>
      <c r="T42" s="248" t="n"/>
      <c r="U42" s="246" t="n"/>
      <c r="V42" s="255" t="n"/>
      <c r="W42" s="238" t="n"/>
      <c r="X42" s="396">
        <f>(U42/($U$2/$U$3))</f>
        <v/>
      </c>
      <c r="Y42" s="396">
        <f>(V42/($V$2/$V$3))</f>
        <v/>
      </c>
      <c r="Z42" s="396">
        <f>(W42/($W$2/$W$3))</f>
        <v/>
      </c>
      <c r="AA42" s="396">
        <f>(Y42)/SQRT(((Z42+X42)/2))</f>
        <v/>
      </c>
      <c r="AB42" s="396">
        <f>IF(AA42&lt;3,"NINGUNO",IF(AA42&lt;=9,"LEVE O MODERADO","SEVERO"))</f>
        <v/>
      </c>
      <c r="AC42" s="253" t="inlineStr">
        <is>
          <t>-</t>
        </is>
      </c>
      <c r="AD42" s="253" t="inlineStr">
        <is>
          <t>-</t>
        </is>
      </c>
      <c r="AE42" s="253" t="inlineStr">
        <is>
          <t>-</t>
        </is>
      </c>
    </row>
    <row r="43" ht="15.75" customFormat="1" customHeight="1" s="302" thickBot="1">
      <c r="B43" s="237" t="inlineStr">
        <is>
          <t>M33</t>
        </is>
      </c>
      <c r="C43" s="237" t="n"/>
      <c r="D43" s="237" t="n"/>
      <c r="E43" s="237" t="n"/>
      <c r="F43" s="220" t="n"/>
      <c r="G43" s="393" t="n"/>
      <c r="H43" s="394" t="n"/>
      <c r="I43" s="393" t="n"/>
      <c r="J43" s="396" t="n"/>
      <c r="K43" s="247" t="n"/>
      <c r="L43" s="246" t="n"/>
      <c r="M43" s="247" t="n"/>
      <c r="N43" s="394" t="n"/>
      <c r="O43" s="250" t="n"/>
      <c r="P43" s="234" t="n"/>
      <c r="Q43" s="258" t="n"/>
      <c r="R43" s="394" t="n"/>
      <c r="S43" s="254" t="n"/>
      <c r="T43" s="248" t="n"/>
      <c r="U43" s="246" t="n"/>
      <c r="V43" s="255" t="n"/>
      <c r="W43" s="238" t="n"/>
      <c r="X43" s="396">
        <f>(U43/($U$2/$U$3))</f>
        <v/>
      </c>
      <c r="Y43" s="396">
        <f>(V43/($V$2/$V$3))</f>
        <v/>
      </c>
      <c r="Z43" s="396">
        <f>(W43/($W$2/$W$3))</f>
        <v/>
      </c>
      <c r="AA43" s="396">
        <f>(Y43)/SQRT(((Z43+X43)/2))</f>
        <v/>
      </c>
      <c r="AB43" s="396">
        <f>IF(AA43&lt;3,"NINGUNO",IF(AA43&lt;=9,"LEVE O MODERADO","SEVERO"))</f>
        <v/>
      </c>
      <c r="AC43" s="253" t="n"/>
      <c r="AD43" s="253" t="n"/>
      <c r="AE43" s="253" t="n"/>
    </row>
    <row r="44" ht="15.75" customFormat="1" customHeight="1" s="301" thickBot="1">
      <c r="B44" s="265" t="inlineStr">
        <is>
          <t>M34</t>
        </is>
      </c>
      <c r="C44" s="265" t="n"/>
      <c r="D44" s="265" t="n"/>
      <c r="E44" s="265" t="n"/>
      <c r="F44" s="266" t="n"/>
      <c r="G44" s="400" t="n"/>
      <c r="H44" s="392" t="n"/>
      <c r="I44" s="400" t="n"/>
      <c r="J44" s="391" t="n"/>
      <c r="K44" s="271" t="n"/>
      <c r="L44" s="272" t="n"/>
      <c r="M44" s="271" t="n"/>
      <c r="N44" s="392" t="n"/>
      <c r="O44" s="274" t="n"/>
      <c r="P44" s="275" t="n"/>
      <c r="Q44" s="283" t="n"/>
      <c r="R44" s="392" t="n"/>
      <c r="S44" s="276" t="n"/>
      <c r="T44" s="277" t="n"/>
      <c r="U44" s="272" t="n"/>
      <c r="V44" s="278" t="n"/>
      <c r="W44" s="279" t="n"/>
      <c r="X44" s="391">
        <f>(U44/($U$2/$U$3))</f>
        <v/>
      </c>
      <c r="Y44" s="391">
        <f>(V44/($V$2/$V$3))</f>
        <v/>
      </c>
      <c r="Z44" s="391">
        <f>(W44/($W$2/$W$3))</f>
        <v/>
      </c>
      <c r="AA44" s="391">
        <f>(Y44)/SQRT(((Z44+X44)/2))</f>
        <v/>
      </c>
      <c r="AB44" s="391">
        <f>IF(AA44&lt;3,"NINGUNO",IF(AA44&lt;=9,"LEVE O MODERADO","SEVERO"))</f>
        <v/>
      </c>
      <c r="AC44" s="280" t="n">
        <v>10</v>
      </c>
      <c r="AD44" s="280" t="n">
        <v>10</v>
      </c>
      <c r="AE44" s="280" t="n">
        <v>5</v>
      </c>
    </row>
    <row r="45" ht="15.75" customFormat="1" customHeight="1" s="301" thickBot="1">
      <c r="B45" s="265" t="inlineStr">
        <is>
          <t>M35</t>
        </is>
      </c>
      <c r="C45" s="265" t="n"/>
      <c r="D45" s="265" t="n"/>
      <c r="E45" s="265" t="n"/>
      <c r="F45" s="266" t="n"/>
      <c r="G45" s="400" t="n"/>
      <c r="H45" s="392" t="n"/>
      <c r="I45" s="400" t="n"/>
      <c r="J45" s="391" t="n"/>
      <c r="K45" s="271" t="n"/>
      <c r="L45" s="272" t="n"/>
      <c r="M45" s="271" t="n"/>
      <c r="N45" s="392" t="n"/>
      <c r="O45" s="392" t="n"/>
      <c r="P45" s="275" t="n"/>
      <c r="Q45" s="283" t="n"/>
      <c r="R45" s="392" t="n"/>
      <c r="S45" s="276" t="n"/>
      <c r="T45" s="277" t="n"/>
      <c r="U45" s="272" t="n"/>
      <c r="V45" s="278" t="n"/>
      <c r="W45" s="279" t="n"/>
      <c r="X45" s="391">
        <f>(U45/($U$2/$U$3))</f>
        <v/>
      </c>
      <c r="Y45" s="391">
        <f>(V45/($V$2/$V$3))</f>
        <v/>
      </c>
      <c r="Z45" s="391">
        <f>(W45/($W$2/$W$3))</f>
        <v/>
      </c>
      <c r="AA45" s="391">
        <f>(Y45)/SQRT(((Z45+X45)/2))</f>
        <v/>
      </c>
      <c r="AB45" s="391">
        <f>IF(AA45&lt;3,"NINGUNO",IF(AA45&lt;=9,"LEVE O MODERADO","SEVERO"))</f>
        <v/>
      </c>
      <c r="AC45" s="280" t="n">
        <v>15</v>
      </c>
      <c r="AD45" s="280" t="n">
        <v>10</v>
      </c>
      <c r="AE45" s="280" t="n">
        <v>5</v>
      </c>
    </row>
    <row r="46" ht="15.75" customFormat="1" customHeight="1" s="301" thickBot="1">
      <c r="B46" s="265" t="inlineStr">
        <is>
          <t>M36</t>
        </is>
      </c>
      <c r="C46" s="265" t="n"/>
      <c r="D46" s="265" t="n"/>
      <c r="E46" s="265" t="n"/>
      <c r="F46" s="266" t="n"/>
      <c r="G46" s="400" t="n"/>
      <c r="H46" s="392" t="n"/>
      <c r="I46" s="400" t="n"/>
      <c r="J46" s="391" t="n"/>
      <c r="K46" s="271" t="n"/>
      <c r="L46" s="391" t="n"/>
      <c r="M46" s="271" t="n"/>
      <c r="N46" s="392" t="n"/>
      <c r="O46" s="392" t="n"/>
      <c r="P46" s="275" t="n"/>
      <c r="Q46" s="283" t="n"/>
      <c r="R46" s="392" t="n"/>
      <c r="S46" s="276" t="n"/>
      <c r="T46" s="277" t="n"/>
      <c r="U46" s="272" t="n"/>
      <c r="V46" s="278" t="n"/>
      <c r="W46" s="279" t="n"/>
      <c r="X46" s="391">
        <f>(U46/($U$2/$U$3))</f>
        <v/>
      </c>
      <c r="Y46" s="391">
        <f>(V46/($V$2/$V$3))</f>
        <v/>
      </c>
      <c r="Z46" s="391">
        <f>(W46/($W$2/$W$3))</f>
        <v/>
      </c>
      <c r="AA46" s="391">
        <f>(Y46)/SQRT(((Z46+X46)/2))</f>
        <v/>
      </c>
      <c r="AB46" s="391">
        <f>IF(AA46&lt;3,"NINGUNO",IF(AA46&lt;=9,"LEVE O MODERADO","SEVERO"))</f>
        <v/>
      </c>
      <c r="AC46" s="280" t="n">
        <v>50</v>
      </c>
      <c r="AD46" s="280" t="n">
        <v>2</v>
      </c>
      <c r="AE46" s="280" t="n">
        <v>2</v>
      </c>
    </row>
    <row r="47" ht="15.75" customFormat="1" customHeight="1" s="301" thickBot="1">
      <c r="B47" s="265" t="inlineStr">
        <is>
          <t>M37</t>
        </is>
      </c>
      <c r="C47" s="265" t="n"/>
      <c r="D47" s="265" t="n"/>
      <c r="E47" s="265" t="n"/>
      <c r="F47" s="266" t="n"/>
      <c r="G47" s="400" t="n"/>
      <c r="H47" s="392" t="n"/>
      <c r="I47" s="400" t="n"/>
      <c r="J47" s="391" t="n"/>
      <c r="K47" s="271" t="n"/>
      <c r="L47" s="272" t="n"/>
      <c r="M47" s="271" t="n"/>
      <c r="N47" s="392" t="n"/>
      <c r="O47" s="274" t="n"/>
      <c r="P47" s="275" t="n"/>
      <c r="Q47" s="283" t="n"/>
      <c r="R47" s="392" t="n"/>
      <c r="S47" s="276" t="n"/>
      <c r="T47" s="277" t="n"/>
      <c r="U47" s="272" t="n"/>
      <c r="V47" s="278" t="n"/>
      <c r="W47" s="279" t="n"/>
      <c r="X47" s="391">
        <f>(U47/($U$2/$U$3))</f>
        <v/>
      </c>
      <c r="Y47" s="391">
        <f>(V47/($V$2/$V$3))</f>
        <v/>
      </c>
      <c r="Z47" s="391">
        <f>(W47/($W$2/$W$3))</f>
        <v/>
      </c>
      <c r="AA47" s="391">
        <f>(Y47)/SQRT(((Z47+X47)/2))</f>
        <v/>
      </c>
      <c r="AB47" s="391">
        <f>IF(AA47&lt;3,"NINGUNO",IF(AA47&lt;=9,"LEVE O MODERADO","SEVERO"))</f>
        <v/>
      </c>
      <c r="AC47" s="280" t="n">
        <v>15</v>
      </c>
      <c r="AD47" s="280" t="n">
        <v>10</v>
      </c>
      <c r="AE47" s="280" t="n">
        <v>5</v>
      </c>
    </row>
    <row r="48" ht="15.75" customFormat="1" customHeight="1" s="301" thickBot="1">
      <c r="B48" s="265" t="inlineStr">
        <is>
          <t>M38</t>
        </is>
      </c>
      <c r="C48" s="265" t="n"/>
      <c r="D48" s="265" t="n"/>
      <c r="E48" s="265" t="n"/>
      <c r="F48" s="266" t="n"/>
      <c r="G48" s="400" t="n"/>
      <c r="H48" s="392" t="n"/>
      <c r="I48" s="400" t="n"/>
      <c r="J48" s="391" t="n"/>
      <c r="K48" s="271" t="n"/>
      <c r="L48" s="272" t="n"/>
      <c r="M48" s="271" t="n"/>
      <c r="N48" s="392" t="n"/>
      <c r="O48" s="274" t="n"/>
      <c r="P48" s="275" t="n"/>
      <c r="Q48" s="283" t="n"/>
      <c r="R48" s="392" t="n"/>
      <c r="S48" s="276" t="n"/>
      <c r="T48" s="277" t="n"/>
      <c r="U48" s="272" t="n"/>
      <c r="V48" s="278" t="n"/>
      <c r="W48" s="279" t="n"/>
      <c r="X48" s="391">
        <f>(U48/($U$2/$U$3))</f>
        <v/>
      </c>
      <c r="Y48" s="391">
        <f>(V48/($V$2/$V$3))</f>
        <v/>
      </c>
      <c r="Z48" s="391">
        <f>(W48/($W$2/$W$3))</f>
        <v/>
      </c>
      <c r="AA48" s="391">
        <f>(Y48)/SQRT(((Z48+X48)/2))</f>
        <v/>
      </c>
      <c r="AB48" s="391">
        <f>IF(AA48&lt;3,"NINGUNO",IF(AA48&lt;=9,"LEVE O MODERADO","SEVERO"))</f>
        <v/>
      </c>
      <c r="AC48" s="280" t="n">
        <v>5</v>
      </c>
      <c r="AD48" s="280" t="n">
        <v>5</v>
      </c>
      <c r="AE48" s="280" t="n">
        <v>4</v>
      </c>
    </row>
    <row r="49" ht="15.75" customFormat="1" customHeight="1" s="302" thickBot="1">
      <c r="B49" s="237" t="inlineStr">
        <is>
          <t>M39</t>
        </is>
      </c>
      <c r="C49" s="237" t="n"/>
      <c r="D49" s="237" t="n"/>
      <c r="E49" s="237" t="n"/>
      <c r="F49" s="220" t="n"/>
      <c r="G49" s="393" t="n"/>
      <c r="H49" s="394" t="n"/>
      <c r="I49" s="393" t="n"/>
      <c r="J49" s="396" t="n"/>
      <c r="K49" s="247" t="n"/>
      <c r="L49" s="396" t="n"/>
      <c r="M49" s="247" t="n"/>
      <c r="N49" s="394" t="n"/>
      <c r="O49" s="250" t="n"/>
      <c r="P49" s="234" t="n"/>
      <c r="Q49" s="258" t="n"/>
      <c r="R49" s="394" t="n"/>
      <c r="S49" s="254" t="n"/>
      <c r="T49" s="248" t="n"/>
      <c r="U49" s="246" t="n"/>
      <c r="V49" s="255" t="n"/>
      <c r="W49" s="238" t="n"/>
      <c r="X49" s="396">
        <f>(U49/($U$2/$U$3))</f>
        <v/>
      </c>
      <c r="Y49" s="396">
        <f>(V49/($V$2/$V$3))</f>
        <v/>
      </c>
      <c r="Z49" s="396">
        <f>(W49/($W$2/$W$3))</f>
        <v/>
      </c>
      <c r="AA49" s="396">
        <f>(Y49)/SQRT(((Z49+X49)/2))</f>
        <v/>
      </c>
      <c r="AB49" s="396">
        <f>IF(AA49&lt;3,"NINGUNO",IF(AA49&lt;=9,"LEVE O MODERADO","SEVERO"))</f>
        <v/>
      </c>
      <c r="AC49" s="253" t="inlineStr">
        <is>
          <t>-</t>
        </is>
      </c>
      <c r="AD49" s="253" t="inlineStr">
        <is>
          <t>-</t>
        </is>
      </c>
      <c r="AE49" s="253" t="inlineStr">
        <is>
          <t>-</t>
        </is>
      </c>
    </row>
    <row r="50" ht="15.75" customFormat="1" customHeight="1" s="302" thickBot="1">
      <c r="B50" s="237" t="inlineStr">
        <is>
          <t>M40</t>
        </is>
      </c>
      <c r="C50" s="237" t="n"/>
      <c r="D50" s="237" t="n"/>
      <c r="E50" s="237" t="n"/>
      <c r="F50" s="220" t="n"/>
      <c r="G50" s="393" t="n"/>
      <c r="H50" s="393" t="n"/>
      <c r="I50" s="393" t="n"/>
      <c r="J50" s="393" t="n"/>
      <c r="K50" s="393" t="n"/>
      <c r="L50" s="393" t="n"/>
      <c r="M50" s="393" t="n"/>
      <c r="N50" s="393" t="n"/>
      <c r="O50" s="409" t="n"/>
      <c r="P50" s="393" t="n"/>
      <c r="Q50" s="393" t="n"/>
      <c r="R50" s="393" t="n"/>
      <c r="S50" s="393" t="n"/>
      <c r="T50" s="393" t="n"/>
      <c r="U50" s="393" t="n"/>
      <c r="V50" s="393" t="n"/>
      <c r="W50" s="393" t="n"/>
      <c r="X50" s="393" t="inlineStr">
        <is>
          <t>-</t>
        </is>
      </c>
      <c r="Y50" s="393" t="inlineStr">
        <is>
          <t>-</t>
        </is>
      </c>
      <c r="Z50" s="393" t="inlineStr">
        <is>
          <t>-</t>
        </is>
      </c>
      <c r="AA50" s="393" t="inlineStr">
        <is>
          <t>-</t>
        </is>
      </c>
      <c r="AB50" s="393" t="inlineStr">
        <is>
          <t>-</t>
        </is>
      </c>
      <c r="AC50" s="393" t="inlineStr">
        <is>
          <t>-</t>
        </is>
      </c>
      <c r="AD50" s="393" t="inlineStr">
        <is>
          <t>-</t>
        </is>
      </c>
      <c r="AE50" s="393" t="inlineStr">
        <is>
          <t>-</t>
        </is>
      </c>
    </row>
    <row r="51" ht="15.75" customFormat="1" customHeight="1" s="301" thickBot="1">
      <c r="B51" s="265" t="inlineStr">
        <is>
          <t>M41</t>
        </is>
      </c>
      <c r="C51" s="265" t="n"/>
      <c r="D51" s="265" t="n"/>
      <c r="E51" s="265" t="n"/>
      <c r="F51" s="266" t="n"/>
      <c r="G51" s="400" t="n"/>
      <c r="H51" s="392" t="n"/>
      <c r="I51" s="400" t="n"/>
      <c r="J51" s="391" t="n"/>
      <c r="K51" s="271" t="n"/>
      <c r="L51" s="272" t="n"/>
      <c r="M51" s="271" t="n"/>
      <c r="N51" s="392" t="n"/>
      <c r="O51" s="274" t="n"/>
      <c r="P51" s="275" t="n"/>
      <c r="Q51" s="283" t="n"/>
      <c r="R51" s="392" t="n"/>
      <c r="S51" s="276" t="n"/>
      <c r="T51" s="277" t="n"/>
      <c r="U51" s="272" t="n"/>
      <c r="V51" s="278" t="n"/>
      <c r="W51" s="279" t="n"/>
      <c r="X51" s="391">
        <f>(U51/($U$2/$U$3))</f>
        <v/>
      </c>
      <c r="Y51" s="391">
        <f>(V51/($V$2/$V$3))</f>
        <v/>
      </c>
      <c r="Z51" s="391">
        <f>(W51/($W$2/$W$3))</f>
        <v/>
      </c>
      <c r="AA51" s="391">
        <f>(Y51)/SQRT(((Z51+X51)/2))</f>
        <v/>
      </c>
      <c r="AB51" s="391">
        <f>IF(AA51&lt;3,"NINGUNO",IF(AA51&lt;=9,"LEVE O MODERADO","SEVERO"))</f>
        <v/>
      </c>
      <c r="AC51" s="280" t="n">
        <v>5</v>
      </c>
      <c r="AD51" s="280" t="n">
        <v>3</v>
      </c>
      <c r="AE51" s="280" t="n">
        <v>2</v>
      </c>
    </row>
    <row r="52" ht="15.75" customFormat="1" customHeight="1" s="301" thickBot="1">
      <c r="B52" s="265" t="inlineStr">
        <is>
          <t>M42</t>
        </is>
      </c>
      <c r="C52" s="265" t="n"/>
      <c r="D52" s="265" t="n"/>
      <c r="E52" s="265" t="n"/>
      <c r="F52" s="266" t="n"/>
      <c r="G52" s="403" t="n"/>
      <c r="H52" s="392" t="n"/>
      <c r="I52" s="400" t="n"/>
      <c r="J52" s="391" t="n"/>
      <c r="K52" s="271" t="n"/>
      <c r="L52" s="272" t="n"/>
      <c r="M52" s="271" t="n"/>
      <c r="N52" s="392" t="n"/>
      <c r="O52" s="274" t="n"/>
      <c r="P52" s="275" t="n"/>
      <c r="Q52" s="283" t="n"/>
      <c r="R52" s="392" t="n"/>
      <c r="S52" s="276" t="n"/>
      <c r="T52" s="277" t="n"/>
      <c r="U52" s="272" t="n"/>
      <c r="V52" s="278" t="n"/>
      <c r="W52" s="279" t="n"/>
      <c r="X52" s="391" t="n">
        <v>0</v>
      </c>
      <c r="Y52" s="391">
        <f>(V52/($V$2/$V$3))</f>
        <v/>
      </c>
      <c r="Z52" s="391">
        <f>(W52/($W$2/$W$3))</f>
        <v/>
      </c>
      <c r="AA52" s="391">
        <f>(Y52)/SQRT(((Z52+X52)/2))</f>
        <v/>
      </c>
      <c r="AB52" s="391">
        <f>IF(AA52&lt;3,"NINGUNO",IF(AA52&lt;=9,"LEVE O MODERADO","SEVERO"))</f>
        <v/>
      </c>
      <c r="AC52" s="280" t="n">
        <v>60</v>
      </c>
      <c r="AD52" s="281" t="n">
        <v>0</v>
      </c>
      <c r="AE52" s="281" t="n">
        <v>0</v>
      </c>
    </row>
    <row r="53" ht="15.75" customFormat="1" customHeight="1" s="302" thickBot="1">
      <c r="B53" s="237" t="inlineStr">
        <is>
          <t>M43</t>
        </is>
      </c>
      <c r="C53" s="237" t="n"/>
      <c r="D53" s="237" t="n"/>
      <c r="E53" s="237" t="n"/>
      <c r="F53" s="220" t="n"/>
      <c r="G53" s="399" t="n"/>
      <c r="H53" s="394" t="n"/>
      <c r="I53" s="393" t="n"/>
      <c r="J53" s="396" t="n"/>
      <c r="K53" s="247" t="n"/>
      <c r="L53" s="246" t="n"/>
      <c r="M53" s="247" t="n"/>
      <c r="N53" s="394" t="n"/>
      <c r="O53" s="394" t="n"/>
      <c r="P53" s="234" t="n"/>
      <c r="Q53" s="258" t="n"/>
      <c r="R53" s="394" t="n"/>
      <c r="S53" s="254" t="n"/>
      <c r="T53" s="248" t="n"/>
      <c r="U53" s="246" t="n"/>
      <c r="V53" s="255" t="n"/>
      <c r="W53" s="238" t="n"/>
      <c r="X53" s="396" t="n">
        <v>0</v>
      </c>
      <c r="Y53" s="396">
        <f>(V53/($V$2/$V$3))</f>
        <v/>
      </c>
      <c r="Z53" s="396">
        <f>(W53/($W$2/$W$3))</f>
        <v/>
      </c>
      <c r="AA53" s="396">
        <f>(Y53)/SQRT(((Z53+X53)/2))</f>
        <v/>
      </c>
      <c r="AB53" s="396">
        <f>IF(AA53&lt;3,"NINGUNO",IF(AA53&lt;=9,"LEVE O MODERADO","SEVERO"))</f>
        <v/>
      </c>
      <c r="AC53" s="253" t="inlineStr">
        <is>
          <t>-</t>
        </is>
      </c>
      <c r="AD53" s="253" t="inlineStr">
        <is>
          <t>-</t>
        </is>
      </c>
      <c r="AE53" s="253" t="inlineStr">
        <is>
          <t>-</t>
        </is>
      </c>
    </row>
    <row r="54" ht="15.75" customFormat="1" customHeight="1" s="301" thickBot="1">
      <c r="B54" s="265" t="inlineStr">
        <is>
          <t>M44</t>
        </is>
      </c>
      <c r="C54" s="265" t="n"/>
      <c r="D54" s="265" t="n"/>
      <c r="E54" s="265" t="n"/>
      <c r="F54" s="266" t="n"/>
      <c r="G54" s="400" t="n"/>
      <c r="H54" s="392" t="n"/>
      <c r="I54" s="400" t="n"/>
      <c r="J54" s="391" t="n"/>
      <c r="K54" s="271" t="n"/>
      <c r="L54" s="391" t="n"/>
      <c r="M54" s="271" t="n"/>
      <c r="N54" s="392" t="n"/>
      <c r="O54" s="274" t="n"/>
      <c r="P54" s="275" t="n"/>
      <c r="Q54" s="283" t="n"/>
      <c r="R54" s="392" t="n"/>
      <c r="S54" s="276" t="n"/>
      <c r="T54" s="277" t="n"/>
      <c r="U54" s="272" t="n"/>
      <c r="V54" s="278" t="n"/>
      <c r="W54" s="279" t="n"/>
      <c r="X54" s="391" t="n">
        <v>0</v>
      </c>
      <c r="Y54" s="391">
        <f>(V54/($V$2/$V$3))</f>
        <v/>
      </c>
      <c r="Z54" s="391">
        <f>(W54/($W$2/$W$3))</f>
        <v/>
      </c>
      <c r="AA54" s="391">
        <f>(Y54)/SQRT(((Z54+X54)/2))</f>
        <v/>
      </c>
      <c r="AB54" s="391">
        <f>IF(AA54&lt;3,"NINGUNO",IF(AA54&lt;=9,"LEVE O MODERADO","SEVERO"))</f>
        <v/>
      </c>
      <c r="AC54" s="280" t="n">
        <v>200</v>
      </c>
      <c r="AD54" s="281" t="n">
        <v>0</v>
      </c>
      <c r="AE54" s="281" t="n">
        <v>0</v>
      </c>
    </row>
    <row r="55" ht="15.75" customFormat="1" customHeight="1" s="302" thickBot="1">
      <c r="B55" s="237" t="inlineStr">
        <is>
          <t>M45</t>
        </is>
      </c>
      <c r="C55" s="237" t="n"/>
      <c r="D55" s="237" t="n"/>
      <c r="E55" s="237" t="n"/>
      <c r="F55" s="220" t="n"/>
      <c r="G55" s="393" t="n"/>
      <c r="H55" s="394" t="n"/>
      <c r="I55" s="393" t="n"/>
      <c r="J55" s="396" t="n"/>
      <c r="K55" s="247" t="n"/>
      <c r="L55" s="396" t="n"/>
      <c r="M55" s="247" t="n"/>
      <c r="N55" s="394" t="n"/>
      <c r="O55" s="250" t="n"/>
      <c r="P55" s="234" t="n"/>
      <c r="Q55" s="258" t="n"/>
      <c r="R55" s="394" t="n"/>
      <c r="S55" s="254" t="n"/>
      <c r="T55" s="248" t="n"/>
      <c r="U55" s="246" t="n"/>
      <c r="V55" s="255" t="n"/>
      <c r="W55" s="238" t="n"/>
      <c r="X55" s="396" t="n">
        <v>0</v>
      </c>
      <c r="Y55" s="396">
        <f>(V55/($V$2/$V$3))</f>
        <v/>
      </c>
      <c r="Z55" s="396">
        <f>(W55/($W$2/$W$3))</f>
        <v/>
      </c>
      <c r="AA55" s="396">
        <f>(Y55)/SQRT(((Z55+X55)/2))</f>
        <v/>
      </c>
      <c r="AB55" s="396">
        <f>IF(AA55&lt;3,"NINGUNO",IF(AA55&lt;=9,"LEVE O MODERADO","SEVERO"))</f>
        <v/>
      </c>
      <c r="AC55" s="253" t="inlineStr">
        <is>
          <t>-</t>
        </is>
      </c>
      <c r="AD55" s="253" t="inlineStr">
        <is>
          <t>-</t>
        </is>
      </c>
      <c r="AE55" s="253" t="inlineStr">
        <is>
          <t>-</t>
        </is>
      </c>
    </row>
    <row r="56" ht="24.75" customFormat="1" customHeight="1" s="301" thickBot="1">
      <c r="B56" s="265" t="inlineStr">
        <is>
          <t>M46</t>
        </is>
      </c>
      <c r="C56" s="265" t="n"/>
      <c r="D56" s="265" t="n"/>
      <c r="E56" s="265" t="n"/>
      <c r="F56" s="266" t="n"/>
      <c r="G56" s="407" t="n"/>
      <c r="H56" s="406" t="n"/>
      <c r="I56" s="407" t="n"/>
      <c r="J56" s="406" t="n"/>
      <c r="K56" s="271" t="n"/>
      <c r="L56" s="272" t="n"/>
      <c r="M56" s="271" t="n"/>
      <c r="N56" s="406" t="n"/>
      <c r="O56" s="274" t="n"/>
      <c r="P56" s="275" t="n"/>
      <c r="Q56" s="283" t="n"/>
      <c r="R56" s="392" t="n"/>
      <c r="S56" s="276" t="n"/>
      <c r="T56" s="277" t="n"/>
      <c r="U56" s="272" t="n"/>
      <c r="V56" s="278" t="n"/>
      <c r="W56" s="279" t="n"/>
      <c r="X56" s="391">
        <f>(U56/($U$2/$U$3))</f>
        <v/>
      </c>
      <c r="Y56" s="391">
        <f>(V56/($V$2/$V$3))</f>
        <v/>
      </c>
      <c r="Z56" s="391">
        <f>(W56/($W$2/$W$3))</f>
        <v/>
      </c>
      <c r="AA56" s="391">
        <f>(Y56)/SQRT(((Z56+X56)/2))</f>
        <v/>
      </c>
      <c r="AB56" s="391">
        <f>IF(AA56&lt;3,"NINGUNO",IF(AA56&lt;=9,"LEVE O MODERADO","SEVERO"))</f>
        <v/>
      </c>
      <c r="AC56" s="280" t="n">
        <v>50</v>
      </c>
      <c r="AD56" s="280" t="n">
        <v>2</v>
      </c>
      <c r="AE56" s="280" t="n">
        <v>2</v>
      </c>
    </row>
    <row r="57" ht="24.75" customFormat="1" customHeight="1" s="301" thickBot="1">
      <c r="B57" s="265" t="inlineStr">
        <is>
          <t>M47</t>
        </is>
      </c>
      <c r="C57" s="265" t="n"/>
      <c r="D57" s="265" t="n"/>
      <c r="E57" s="265" t="n"/>
      <c r="F57" s="266" t="n"/>
      <c r="G57" s="400" t="n"/>
      <c r="H57" s="392" t="n"/>
      <c r="I57" s="400" t="n"/>
      <c r="J57" s="391" t="n"/>
      <c r="K57" s="271" t="n"/>
      <c r="L57" s="272" t="n"/>
      <c r="M57" s="271" t="n"/>
      <c r="N57" s="392" t="n"/>
      <c r="O57" s="392" t="n"/>
      <c r="P57" s="275" t="n"/>
      <c r="Q57" s="283" t="n"/>
      <c r="R57" s="392" t="n"/>
      <c r="S57" s="276" t="n"/>
      <c r="T57" s="277" t="n"/>
      <c r="U57" s="272" t="n"/>
      <c r="V57" s="278" t="n"/>
      <c r="W57" s="279" t="n"/>
      <c r="X57" s="391">
        <f>(U57/($U$2/$U$3))</f>
        <v/>
      </c>
      <c r="Y57" s="391">
        <f>(V57/($V$2/$V$3))</f>
        <v/>
      </c>
      <c r="Z57" s="391">
        <f>(W57/($W$2/$W$3))</f>
        <v/>
      </c>
      <c r="AA57" s="391">
        <f>(Y57)/SQRT(((Z57+X57)/2))</f>
        <v/>
      </c>
      <c r="AB57" s="391">
        <f>IF(AA57&lt;3,"NINGUNO",IF(AA57&lt;=9,"LEVE O MODERADO","SEVERO"))</f>
        <v/>
      </c>
      <c r="AC57" s="280" t="n">
        <v>120</v>
      </c>
      <c r="AD57" s="280" t="n">
        <v>5</v>
      </c>
      <c r="AE57" s="280" t="n">
        <v>5</v>
      </c>
    </row>
    <row r="58" ht="24.75" customFormat="1" customHeight="1" s="301" thickBot="1">
      <c r="B58" s="265" t="inlineStr">
        <is>
          <t>M48</t>
        </is>
      </c>
      <c r="C58" s="265" t="n"/>
      <c r="D58" s="265" t="n"/>
      <c r="E58" s="265" t="n"/>
      <c r="F58" s="266" t="n"/>
      <c r="G58" s="400" t="n"/>
      <c r="H58" s="392" t="n"/>
      <c r="I58" s="400" t="n"/>
      <c r="J58" s="391" t="n"/>
      <c r="K58" s="272" t="n"/>
      <c r="L58" s="272" t="n"/>
      <c r="M58" s="271" t="n"/>
      <c r="N58" s="392" t="n"/>
      <c r="O58" s="392" t="n"/>
      <c r="P58" s="275" t="n"/>
      <c r="Q58" s="283" t="n"/>
      <c r="R58" s="392" t="n"/>
      <c r="S58" s="276" t="n"/>
      <c r="T58" s="277" t="n"/>
      <c r="U58" s="272" t="n"/>
      <c r="V58" s="278" t="n"/>
      <c r="W58" s="279" t="n"/>
      <c r="X58" s="391">
        <f>(U58/($U$2/$U$3))</f>
        <v/>
      </c>
      <c r="Y58" s="391">
        <f>(V58/($V$2/$V$3))</f>
        <v/>
      </c>
      <c r="Z58" s="391">
        <f>(W58/($W$2/$W$3))</f>
        <v/>
      </c>
      <c r="AA58" s="391">
        <f>(Y58)/SQRT(((Z58+X58)/2))</f>
        <v/>
      </c>
      <c r="AB58" s="391">
        <f>IF(AA58&lt;3,"NINGUNO",IF(AA58&lt;=9,"LEVE O MODERADO","SEVERO"))</f>
        <v/>
      </c>
      <c r="AC58" s="280" t="n">
        <v>95</v>
      </c>
      <c r="AD58" s="280" t="n">
        <v>20</v>
      </c>
      <c r="AE58" s="280" t="n">
        <v>2</v>
      </c>
    </row>
    <row r="59" ht="24.6" customFormat="1" customHeight="1" s="301" thickBot="1">
      <c r="B59" s="265" t="inlineStr">
        <is>
          <t>M49</t>
        </is>
      </c>
      <c r="C59" s="265" t="n"/>
      <c r="D59" s="265" t="n"/>
      <c r="E59" s="265" t="n"/>
      <c r="F59" s="266" t="n"/>
      <c r="G59" s="400" t="n"/>
      <c r="H59" s="392" t="n"/>
      <c r="I59" s="400" t="n"/>
      <c r="J59" s="391" t="n"/>
      <c r="K59" s="271" t="n"/>
      <c r="L59" s="272" t="n"/>
      <c r="M59" s="271" t="n"/>
      <c r="N59" s="392" t="n"/>
      <c r="O59" s="392" t="n"/>
      <c r="P59" s="275" t="n"/>
      <c r="Q59" s="402" t="n"/>
      <c r="R59" s="274" t="n"/>
      <c r="S59" s="276" t="n"/>
      <c r="T59" s="277" t="n"/>
      <c r="U59" s="272" t="n"/>
      <c r="V59" s="278" t="n"/>
      <c r="W59" s="279" t="n"/>
      <c r="X59" s="391">
        <f>(U59/($U$2/$U$3))</f>
        <v/>
      </c>
      <c r="Y59" s="391">
        <f>(V59/($V$2/$V$3))</f>
        <v/>
      </c>
      <c r="Z59" s="391">
        <f>(W59/($W$2/$W$3))</f>
        <v/>
      </c>
      <c r="AA59" s="391">
        <f>(Y59)/SQRT(((Z59+X59)/2))</f>
        <v/>
      </c>
      <c r="AB59" s="391">
        <f>IF(AA59&lt;3,"NINGUNO",IF(AA59&lt;=9,"LEVE O MODERADO","SEVERO"))</f>
        <v/>
      </c>
      <c r="AC59" s="280" t="n">
        <v>5</v>
      </c>
      <c r="AD59" s="280" t="n">
        <v>2</v>
      </c>
      <c r="AE59" s="280" t="n">
        <v>2</v>
      </c>
    </row>
    <row r="60" ht="24.75" customFormat="1" customHeight="1" s="301" thickBot="1">
      <c r="B60" s="265" t="inlineStr">
        <is>
          <t>M50</t>
        </is>
      </c>
      <c r="C60" s="265" t="n"/>
      <c r="D60" s="265" t="n"/>
      <c r="E60" s="265" t="n"/>
      <c r="F60" s="266" t="n"/>
      <c r="G60" s="400" t="n"/>
      <c r="H60" s="392" t="n"/>
      <c r="I60" s="400" t="n"/>
      <c r="J60" s="391" t="n"/>
      <c r="K60" s="271" t="n"/>
      <c r="L60" s="272" t="n"/>
      <c r="M60" s="271" t="n"/>
      <c r="N60" s="392" t="n"/>
      <c r="O60" s="274" t="n"/>
      <c r="P60" s="275" t="n"/>
      <c r="Q60" s="402" t="n"/>
      <c r="R60" s="274" t="n"/>
      <c r="S60" s="276" t="n"/>
      <c r="T60" s="277" t="n"/>
      <c r="U60" s="272" t="n"/>
      <c r="V60" s="278" t="n"/>
      <c r="W60" s="279" t="n"/>
      <c r="X60" s="391">
        <f>(U60/($U$2/$U$3))</f>
        <v/>
      </c>
      <c r="Y60" s="391">
        <f>(V60/($V$2/$V$3))</f>
        <v/>
      </c>
      <c r="Z60" s="391">
        <f>(W60/($W$2/$W$3))</f>
        <v/>
      </c>
      <c r="AA60" s="391">
        <f>(Y60)/SQRT(((Z60+X60)/2))</f>
        <v/>
      </c>
      <c r="AB60" s="391">
        <f>IF(AA60&lt;3,"NINGUNO",IF(AA60&lt;=9,"LEVE O MODERADO","SEVERO"))</f>
        <v/>
      </c>
      <c r="AC60" s="280" t="n">
        <v>5</v>
      </c>
      <c r="AD60" s="279" t="n">
        <v>0</v>
      </c>
      <c r="AE60" s="279" t="n">
        <v>0</v>
      </c>
    </row>
    <row r="61" ht="24.75" customFormat="1" customHeight="1" s="301" thickBot="1">
      <c r="B61" s="265" t="inlineStr">
        <is>
          <t>M51</t>
        </is>
      </c>
      <c r="C61" s="265" t="n"/>
      <c r="D61" s="265" t="n"/>
      <c r="E61" s="265" t="n"/>
      <c r="F61" s="266" t="n"/>
      <c r="G61" s="400" t="n"/>
      <c r="H61" s="392" t="n"/>
      <c r="I61" s="400" t="n"/>
      <c r="J61" s="391" t="n"/>
      <c r="K61" s="271" t="n"/>
      <c r="L61" s="272" t="n"/>
      <c r="M61" s="271" t="n"/>
      <c r="N61" s="392" t="n"/>
      <c r="O61" s="274" t="n"/>
      <c r="P61" s="275" t="n"/>
      <c r="Q61" s="283" t="n"/>
      <c r="R61" s="274" t="n"/>
      <c r="S61" s="276" t="n"/>
      <c r="T61" s="277" t="n"/>
      <c r="U61" s="272" t="n"/>
      <c r="V61" s="278" t="n"/>
      <c r="W61" s="279" t="n"/>
      <c r="X61" s="391">
        <f>(U61/($U$2/$U$3))</f>
        <v/>
      </c>
      <c r="Y61" s="391">
        <f>(V61/($V$2/$V$3))</f>
        <v/>
      </c>
      <c r="Z61" s="391">
        <f>(W61/($W$2/$W$3))</f>
        <v/>
      </c>
      <c r="AA61" s="391">
        <f>(Y61)/SQRT(((Z61+X61)/2))</f>
        <v/>
      </c>
      <c r="AB61" s="391">
        <f>IF(AA61&lt;3,"NINGUNO",IF(AA61&lt;=9,"LEVE O MODERADO","SEVERO"))</f>
        <v/>
      </c>
      <c r="AC61" s="280" t="n">
        <v>30</v>
      </c>
      <c r="AD61" s="280" t="n">
        <v>2</v>
      </c>
      <c r="AE61" s="280" t="n">
        <v>2</v>
      </c>
    </row>
    <row r="62" ht="24.75" customFormat="1" customHeight="1" s="301" thickBot="1">
      <c r="B62" s="265" t="inlineStr">
        <is>
          <t>M52</t>
        </is>
      </c>
      <c r="C62" s="265" t="n"/>
      <c r="D62" s="265" t="n"/>
      <c r="E62" s="265" t="n"/>
      <c r="F62" s="266" t="n"/>
      <c r="G62" s="400" t="n"/>
      <c r="H62" s="392" t="n"/>
      <c r="I62" s="400" t="n"/>
      <c r="J62" s="391" t="n"/>
      <c r="K62" s="271" t="n"/>
      <c r="L62" s="391" t="n"/>
      <c r="M62" s="271" t="n"/>
      <c r="N62" s="392" t="n"/>
      <c r="O62" s="274" t="n"/>
      <c r="P62" s="275" t="n"/>
      <c r="Q62" s="283" t="n"/>
      <c r="R62" s="274" t="n"/>
      <c r="S62" s="276" t="n"/>
      <c r="T62" s="277" t="n"/>
      <c r="U62" s="272" t="n"/>
      <c r="V62" s="278" t="n"/>
      <c r="W62" s="279" t="n"/>
      <c r="X62" s="391">
        <f>(U62/($U$2/$U$3))</f>
        <v/>
      </c>
      <c r="Y62" s="391">
        <f>(V62/($V$2/$V$3))</f>
        <v/>
      </c>
      <c r="Z62" s="391">
        <f>(W62/($W$2/$W$3))</f>
        <v/>
      </c>
      <c r="AA62" s="391">
        <f>(Y62)/SQRT(((Z62+X62)/2))</f>
        <v/>
      </c>
      <c r="AB62" s="391">
        <f>IF(AA62&lt;3,"NINGUNO",IF(AA62&lt;=9,"LEVE O MODERADO","SEVERO"))</f>
        <v/>
      </c>
      <c r="AC62" s="280" t="n">
        <v>15</v>
      </c>
      <c r="AD62" s="280" t="n">
        <v>2</v>
      </c>
      <c r="AE62" s="280" t="n">
        <v>1</v>
      </c>
    </row>
    <row r="63" ht="24.75" customFormat="1" customHeight="1" s="301" thickBot="1">
      <c r="B63" s="265" t="inlineStr">
        <is>
          <t>M53</t>
        </is>
      </c>
      <c r="C63" s="265" t="n"/>
      <c r="D63" s="265" t="n"/>
      <c r="E63" s="265" t="n"/>
      <c r="F63" s="266" t="n"/>
      <c r="G63" s="400" t="n"/>
      <c r="H63" s="392" t="n"/>
      <c r="I63" s="400" t="n"/>
      <c r="J63" s="391" t="n"/>
      <c r="K63" s="271" t="n"/>
      <c r="L63" s="272" t="n"/>
      <c r="M63" s="271" t="n"/>
      <c r="N63" s="392" t="n"/>
      <c r="O63" s="392" t="n"/>
      <c r="P63" s="275" t="n"/>
      <c r="Q63" s="283" t="n"/>
      <c r="R63" s="392" t="n"/>
      <c r="S63" s="276" t="n"/>
      <c r="T63" s="277" t="n"/>
      <c r="U63" s="272" t="n"/>
      <c r="V63" s="278" t="n"/>
      <c r="W63" s="279" t="n"/>
      <c r="X63" s="391">
        <f>(U63/($U$2/$U$3))</f>
        <v/>
      </c>
      <c r="Y63" s="391">
        <f>(V63/($V$2/$V$3))</f>
        <v/>
      </c>
      <c r="Z63" s="391">
        <f>(W63/($W$2/$W$3))</f>
        <v/>
      </c>
      <c r="AA63" s="391">
        <f>(Y63)/SQRT(((Z63+X63)/2))</f>
        <v/>
      </c>
      <c r="AB63" s="391">
        <f>IF(AA63&lt;3,"NINGUNO",IF(AA63&lt;=9,"LEVE O MODERADO","SEVERO"))</f>
        <v/>
      </c>
      <c r="AC63" s="280" t="n">
        <v>75</v>
      </c>
      <c r="AD63" s="280" t="n">
        <v>5</v>
      </c>
      <c r="AE63" s="280" t="n">
        <v>5</v>
      </c>
    </row>
    <row r="64" ht="24.75" customFormat="1" customHeight="1" s="301" thickBot="1">
      <c r="B64" s="265" t="inlineStr">
        <is>
          <t>M54</t>
        </is>
      </c>
      <c r="C64" s="265" t="n"/>
      <c r="D64" s="265" t="n"/>
      <c r="E64" s="265" t="n"/>
      <c r="F64" s="266" t="n"/>
      <c r="G64" s="410" t="n"/>
      <c r="H64" s="392" t="n"/>
      <c r="I64" s="400" t="n"/>
      <c r="J64" s="404" t="n"/>
      <c r="K64" s="272" t="n"/>
      <c r="L64" s="272" t="n"/>
      <c r="M64" s="271" t="n"/>
      <c r="N64" s="392" t="n"/>
      <c r="O64" s="274" t="n"/>
      <c r="P64" s="275" t="n"/>
      <c r="Q64" s="283" t="n"/>
      <c r="R64" s="274" t="n"/>
      <c r="S64" s="276" t="n"/>
      <c r="T64" s="277" t="n"/>
      <c r="U64" s="272" t="n"/>
      <c r="V64" s="278" t="n"/>
      <c r="W64" s="279" t="n"/>
      <c r="X64" s="391">
        <f>(U64/($U$2/$U$3))</f>
        <v/>
      </c>
      <c r="Y64" s="391">
        <f>(V64/($V$2/$V$3))</f>
        <v/>
      </c>
      <c r="Z64" s="391">
        <f>(W64/($W$2/$W$3))</f>
        <v/>
      </c>
      <c r="AA64" s="391">
        <f>(Y64)/SQRT(((Z64+X64)/2))</f>
        <v/>
      </c>
      <c r="AB64" s="391">
        <f>IF(AA64&lt;3,"NINGUNO",IF(AA64&lt;=9,"LEVE O MODERADO","SEVERO"))</f>
        <v/>
      </c>
      <c r="AC64" s="280" t="n">
        <v>35</v>
      </c>
      <c r="AD64" s="280" t="n">
        <v>10</v>
      </c>
      <c r="AE64" s="280" t="n">
        <v>5</v>
      </c>
    </row>
    <row r="65" ht="24.75" customFormat="1" customHeight="1" s="302" thickBot="1">
      <c r="B65" s="237" t="inlineStr">
        <is>
          <t>M55</t>
        </is>
      </c>
      <c r="C65" s="237" t="n"/>
      <c r="D65" s="237" t="n"/>
      <c r="E65" s="237" t="n"/>
      <c r="F65" s="220" t="n"/>
      <c r="G65" s="411" t="n"/>
      <c r="H65" s="412" t="n"/>
      <c r="I65" s="413" t="n"/>
      <c r="J65" s="398" t="n"/>
      <c r="K65" s="247" t="n"/>
      <c r="L65" s="246" t="n"/>
      <c r="M65" s="247" t="n"/>
      <c r="N65" s="394" t="n"/>
      <c r="O65" s="394" t="n"/>
      <c r="P65" s="234" t="n"/>
      <c r="Q65" s="258" t="n"/>
      <c r="R65" s="250" t="n"/>
      <c r="S65" s="254" t="n"/>
      <c r="T65" s="248" t="n"/>
      <c r="U65" s="246" t="n"/>
      <c r="V65" s="255" t="n"/>
      <c r="W65" s="238" t="n"/>
      <c r="X65" s="396">
        <f>(U65/($U$2/$U$3))</f>
        <v/>
      </c>
      <c r="Y65" s="396">
        <f>(V65/($V$2/$V$3))</f>
        <v/>
      </c>
      <c r="Z65" s="396">
        <f>(W65/($W$2/$W$3))</f>
        <v/>
      </c>
      <c r="AA65" s="396">
        <f>(Y65)/SQRT(((Z65+X65)/2))</f>
        <v/>
      </c>
      <c r="AB65" s="396">
        <f>IF(AA65&lt;3,"NINGUNO",IF(AA65&lt;=9,"LEVE O MODERADO","SEVERO"))</f>
        <v/>
      </c>
      <c r="AC65" s="253" t="inlineStr">
        <is>
          <t>-</t>
        </is>
      </c>
      <c r="AD65" s="253" t="inlineStr">
        <is>
          <t>-</t>
        </is>
      </c>
      <c r="AE65" s="253" t="inlineStr">
        <is>
          <t>-</t>
        </is>
      </c>
    </row>
    <row r="66" ht="24.75" customFormat="1" customHeight="1" s="302" thickBot="1">
      <c r="B66" s="237" t="inlineStr">
        <is>
          <t>M56</t>
        </is>
      </c>
      <c r="C66" s="237" t="n"/>
      <c r="D66" s="237" t="n"/>
      <c r="E66" s="237" t="n"/>
      <c r="F66" s="220" t="n"/>
      <c r="G66" s="411" t="n"/>
      <c r="H66" s="412" t="n"/>
      <c r="I66" s="413" t="n"/>
      <c r="J66" s="398" t="n"/>
      <c r="K66" s="247" t="n"/>
      <c r="L66" s="396" t="n"/>
      <c r="M66" s="247" t="n"/>
      <c r="N66" s="394" t="n"/>
      <c r="O66" s="250" t="n"/>
      <c r="P66" s="235" t="n"/>
      <c r="Q66" s="397" t="n"/>
      <c r="R66" s="394" t="n"/>
      <c r="S66" s="254" t="n"/>
      <c r="T66" s="248" t="n"/>
      <c r="U66" s="246" t="n"/>
      <c r="V66" s="255" t="n"/>
      <c r="W66" s="238" t="n"/>
      <c r="X66" s="396">
        <f>(U66/($U$2/$U$3))</f>
        <v/>
      </c>
      <c r="Y66" s="396">
        <f>(V66/($V$2/$V$3))</f>
        <v/>
      </c>
      <c r="Z66" s="396">
        <f>(W66/($W$2/$W$3))</f>
        <v/>
      </c>
      <c r="AA66" s="396">
        <f>(Y66)/SQRT(((Z66+X66)/2))</f>
        <v/>
      </c>
      <c r="AB66" s="396">
        <f>IF(AA66&lt;3,"NINGUNO",IF(AA66&lt;=9,"LEVE O MODERADO","SEVERO"))</f>
        <v/>
      </c>
      <c r="AC66" s="253" t="inlineStr">
        <is>
          <t>-</t>
        </is>
      </c>
      <c r="AD66" s="253" t="inlineStr">
        <is>
          <t>-</t>
        </is>
      </c>
      <c r="AE66" s="253" t="inlineStr">
        <is>
          <t>-</t>
        </is>
      </c>
    </row>
    <row r="67" ht="24.75" customFormat="1" customHeight="1" s="302" thickBot="1">
      <c r="B67" s="237" t="inlineStr">
        <is>
          <t>M57</t>
        </is>
      </c>
      <c r="C67" s="237" t="n"/>
      <c r="D67" s="237" t="n"/>
      <c r="E67" s="237" t="n"/>
      <c r="F67" s="220" t="n"/>
      <c r="G67" s="411" t="n"/>
      <c r="H67" s="412" t="n"/>
      <c r="I67" s="413" t="n"/>
      <c r="J67" s="398" t="n"/>
      <c r="K67" s="247" t="n"/>
      <c r="L67" s="246" t="n"/>
      <c r="M67" s="247" t="n"/>
      <c r="N67" s="394" t="n"/>
      <c r="O67" s="250" t="n"/>
      <c r="P67" s="235" t="n"/>
      <c r="Q67" s="394" t="n"/>
      <c r="R67" s="394" t="n"/>
      <c r="S67" s="254" t="n"/>
      <c r="T67" s="248" t="n"/>
      <c r="U67" s="246" t="n"/>
      <c r="V67" s="255" t="n"/>
      <c r="W67" s="238" t="n"/>
      <c r="X67" s="396">
        <f>(U67/($U$2/$U$3))</f>
        <v/>
      </c>
      <c r="Y67" s="396">
        <f>(V67/($V$2/$V$3))</f>
        <v/>
      </c>
      <c r="Z67" s="396">
        <f>(W67/($W$2/$W$3))</f>
        <v/>
      </c>
      <c r="AA67" s="396">
        <f>(Y67)/SQRT(((Z67+X67)/2))</f>
        <v/>
      </c>
      <c r="AB67" s="396">
        <f>IF(AA67&lt;3,"NINGUNO",IF(AA67&lt;=9,"LEVE O MODERADO","SEVERO"))</f>
        <v/>
      </c>
      <c r="AC67" s="253" t="inlineStr">
        <is>
          <t>-</t>
        </is>
      </c>
      <c r="AD67" s="253" t="inlineStr">
        <is>
          <t>-</t>
        </is>
      </c>
      <c r="AE67" s="253" t="inlineStr">
        <is>
          <t>-</t>
        </is>
      </c>
    </row>
    <row r="68" ht="24.75" customFormat="1" customHeight="1" s="301" thickBot="1">
      <c r="B68" s="265" t="inlineStr">
        <is>
          <t>M58</t>
        </is>
      </c>
      <c r="C68" s="265" t="n"/>
      <c r="D68" s="265" t="n"/>
      <c r="E68" s="265" t="n"/>
      <c r="F68" s="266" t="n"/>
      <c r="G68" s="410" t="n"/>
      <c r="H68" s="414" t="n"/>
      <c r="I68" s="415" t="n"/>
      <c r="J68" s="404" t="n"/>
      <c r="K68" s="271" t="n"/>
      <c r="L68" s="272" t="n"/>
      <c r="M68" s="271" t="n"/>
      <c r="N68" s="392" t="n"/>
      <c r="O68" s="274" t="n"/>
      <c r="P68" s="289" t="n"/>
      <c r="Q68" s="402" t="n"/>
      <c r="R68" s="392" t="n"/>
      <c r="S68" s="276" t="n"/>
      <c r="T68" s="277" t="n"/>
      <c r="U68" s="272" t="n"/>
      <c r="V68" s="278" t="n"/>
      <c r="W68" s="279" t="n"/>
      <c r="X68" s="391">
        <f>(U68/($U$2/$U$3))</f>
        <v/>
      </c>
      <c r="Y68" s="391">
        <f>(V68/($V$2/$V$3))</f>
        <v/>
      </c>
      <c r="Z68" s="391">
        <f>(W68/($W$2/$W$3))</f>
        <v/>
      </c>
      <c r="AA68" s="391">
        <f>(Y68)/SQRT(((Z68+X68)/2))</f>
        <v/>
      </c>
      <c r="AB68" s="391">
        <f>IF(AA68&lt;3,"NINGUNO",IF(AA68&lt;=9,"LEVE O MODERADO","SEVERO"))</f>
        <v/>
      </c>
      <c r="AC68" s="280" t="n">
        <v>25</v>
      </c>
      <c r="AD68" s="280" t="n">
        <v>2</v>
      </c>
      <c r="AE68" s="280" t="n">
        <v>2</v>
      </c>
    </row>
    <row r="69" ht="24.75" customFormat="1" customHeight="1" s="302" thickBot="1">
      <c r="B69" s="237" t="inlineStr">
        <is>
          <t>M59</t>
        </is>
      </c>
      <c r="C69" s="237" t="n"/>
      <c r="D69" s="237" t="n"/>
      <c r="E69" s="237" t="n"/>
      <c r="F69" s="220" t="n"/>
      <c r="G69" s="411" t="n"/>
      <c r="H69" s="412" t="n"/>
      <c r="I69" s="413" t="n"/>
      <c r="J69" s="398" t="n"/>
      <c r="K69" s="246" t="n"/>
      <c r="L69" s="246" t="n"/>
      <c r="M69" s="247" t="n"/>
      <c r="N69" s="394" t="n"/>
      <c r="O69" s="250" t="n"/>
      <c r="P69" s="235" t="n"/>
      <c r="Q69" s="397" t="n"/>
      <c r="R69" s="394" t="n"/>
      <c r="S69" s="254" t="n"/>
      <c r="T69" s="248" t="n"/>
      <c r="U69" s="246" t="n"/>
      <c r="V69" s="255" t="n"/>
      <c r="W69" s="238" t="n"/>
      <c r="X69" s="396">
        <f>(U69/($U$2/$U$3))</f>
        <v/>
      </c>
      <c r="Y69" s="396">
        <f>(V69/($V$2/$V$3))</f>
        <v/>
      </c>
      <c r="Z69" s="396">
        <f>(W69/($W$2/$W$3))</f>
        <v/>
      </c>
      <c r="AA69" s="396">
        <f>(Y69)/SQRT(((Z69+X69)/2))</f>
        <v/>
      </c>
      <c r="AB69" s="396">
        <f>IF(AA69&lt;3,"NINGUNO",IF(AA69&lt;=9,"LEVE O MODERADO","SEVERO"))</f>
        <v/>
      </c>
      <c r="AC69" s="253" t="inlineStr">
        <is>
          <t>-</t>
        </is>
      </c>
      <c r="AD69" s="253" t="inlineStr">
        <is>
          <t>-</t>
        </is>
      </c>
      <c r="AE69" s="253" t="inlineStr">
        <is>
          <t>-</t>
        </is>
      </c>
    </row>
    <row r="70" ht="24.75" customFormat="1" customHeight="1" s="301" thickBot="1">
      <c r="B70" s="265" t="inlineStr">
        <is>
          <t>M60</t>
        </is>
      </c>
      <c r="C70" s="265" t="n"/>
      <c r="D70" s="265" t="n"/>
      <c r="E70" s="265" t="n"/>
      <c r="F70" s="266" t="n"/>
      <c r="G70" s="410" t="n"/>
      <c r="H70" s="414" t="n"/>
      <c r="I70" s="415" t="n"/>
      <c r="J70" s="404" t="n"/>
      <c r="K70" s="272" t="n"/>
      <c r="L70" s="272" t="n"/>
      <c r="M70" s="271" t="n"/>
      <c r="N70" s="392" t="n"/>
      <c r="O70" s="274" t="n"/>
      <c r="P70" s="289" t="n"/>
      <c r="Q70" s="402" t="n"/>
      <c r="R70" s="392" t="n"/>
      <c r="S70" s="276" t="n"/>
      <c r="T70" s="277" t="n"/>
      <c r="U70" s="272" t="n"/>
      <c r="V70" s="278" t="n"/>
      <c r="W70" s="279" t="n"/>
      <c r="X70" s="391">
        <f>(U70/($U$2/$U$3))</f>
        <v/>
      </c>
      <c r="Y70" s="391">
        <f>(V70/($V$2/$V$3))</f>
        <v/>
      </c>
      <c r="Z70" s="391">
        <f>(W70/($W$2/$W$3))</f>
        <v/>
      </c>
      <c r="AA70" s="391">
        <f>(Y70)/SQRT(((Z70+X70)/2))</f>
        <v/>
      </c>
      <c r="AB70" s="391">
        <f>IF(AA70&lt;3,"NINGUNO",IF(AA70&lt;=9,"LEVE O MODERADO","SEVERO"))</f>
        <v/>
      </c>
      <c r="AC70" s="280" t="n">
        <v>10</v>
      </c>
      <c r="AD70" s="280" t="n">
        <v>5</v>
      </c>
      <c r="AE70" s="280" t="n">
        <v>4</v>
      </c>
    </row>
    <row r="71">
      <c r="B71" s="416" t="inlineStr">
        <is>
          <t>*No se realiza metodo microbiológico requerido para aguas catergia 3 - ECAS. Metodo utilizado para agua subterránea -  Siembra en placa.</t>
        </is>
      </c>
      <c r="C71" s="417" t="n"/>
      <c r="D71" s="417" t="n"/>
      <c r="E71" s="417" t="n"/>
      <c r="F71" s="417" t="n"/>
      <c r="G71" s="417" t="n"/>
      <c r="H71" s="417" t="n"/>
      <c r="I71" s="417" t="n"/>
      <c r="J71" s="417" t="n"/>
      <c r="K71" s="417" t="n"/>
      <c r="L71" s="417" t="n"/>
      <c r="M71" s="417" t="n"/>
      <c r="N71" s="417" t="n"/>
      <c r="O71" s="417" t="n"/>
      <c r="P71" s="417" t="n"/>
      <c r="Q71" s="381" t="n"/>
      <c r="R71" s="299" t="n"/>
      <c r="S71" s="318" t="n"/>
      <c r="T71" s="318" t="n"/>
      <c r="U71" s="318" t="n"/>
      <c r="V71" s="318" t="n"/>
      <c r="W71" s="318" t="n"/>
      <c r="X71" s="318" t="n"/>
      <c r="Y71" s="318" t="n"/>
      <c r="Z71" s="318" t="n"/>
      <c r="AA71" s="318" t="n"/>
      <c r="AB71" s="318" t="n"/>
      <c r="AC71" s="318" t="n"/>
      <c r="AD71" s="318" t="n"/>
      <c r="AE71" s="318" t="n"/>
    </row>
    <row r="72" ht="24.75" customHeight="1" thickBot="1">
      <c r="B72" s="317" t="inlineStr">
        <is>
          <t>+ No se realizó análisis. Pozo inaccesible</t>
        </is>
      </c>
      <c r="N72" s="240" t="n"/>
      <c r="O72" s="305" t="n"/>
      <c r="P72" s="317" t="n"/>
      <c r="Q72" s="317" t="n"/>
      <c r="R72" s="317" t="n"/>
      <c r="S72" s="318" t="n"/>
      <c r="T72" s="318" t="n"/>
      <c r="U72" s="318" t="n"/>
      <c r="V72" s="318" t="n"/>
      <c r="W72" s="318" t="n"/>
      <c r="X72" s="318" t="n"/>
      <c r="Y72" s="318" t="n"/>
      <c r="Z72" s="318" t="n"/>
      <c r="AA72" s="318" t="n"/>
      <c r="AB72" s="318" t="n"/>
      <c r="AC72" s="318" t="n"/>
      <c r="AD72" s="318" t="n"/>
      <c r="AE72" s="318" t="n"/>
    </row>
    <row r="73" ht="15.75" customHeight="1" thickBot="1">
      <c r="B73" s="418" t="n"/>
      <c r="C73" s="317" t="n"/>
      <c r="D73" s="317" t="n"/>
      <c r="E73" s="317" t="n"/>
      <c r="F73" s="317" t="n"/>
      <c r="G73" s="243" t="n"/>
      <c r="H73" s="243" t="n"/>
      <c r="I73" s="243" t="n"/>
      <c r="J73" s="243" t="n"/>
      <c r="K73" s="243" t="n"/>
      <c r="L73" s="243" t="n"/>
      <c r="M73" s="243" t="n"/>
      <c r="N73" s="244" t="n"/>
      <c r="O73" s="306" t="n"/>
      <c r="P73" s="243" t="n"/>
      <c r="Q73" s="243" t="n"/>
      <c r="R73" s="243" t="n"/>
      <c r="S73" s="307" t="n"/>
      <c r="T73" s="307" t="n"/>
      <c r="U73" s="307" t="n"/>
      <c r="V73" s="307" t="n"/>
      <c r="W73" s="307" t="n"/>
      <c r="X73" s="307" t="n"/>
      <c r="Y73" s="307" t="n"/>
      <c r="Z73" s="307" t="n"/>
      <c r="AA73" s="307" t="n"/>
      <c r="AB73" s="307" t="n"/>
      <c r="AC73" s="306" t="n">
        <v>37</v>
      </c>
      <c r="AD73" s="306" t="n">
        <v>23</v>
      </c>
      <c r="AE73" s="306" t="n">
        <v>22</v>
      </c>
    </row>
    <row r="74">
      <c r="B74" s="318" t="n"/>
      <c r="C74" s="318" t="n"/>
      <c r="D74" s="318" t="n"/>
      <c r="E74" s="318" t="n"/>
      <c r="F74" s="318" t="n"/>
      <c r="G74" s="319">
        <f>(G73*100)/39</f>
        <v/>
      </c>
      <c r="H74" s="319">
        <f>(H73*100)/39</f>
        <v/>
      </c>
      <c r="I74" s="319">
        <f>(I73*100)/39</f>
        <v/>
      </c>
      <c r="J74" s="319">
        <f>(J73*100)/39</f>
        <v/>
      </c>
      <c r="K74" s="319">
        <f>(K73*100)/39</f>
        <v/>
      </c>
      <c r="L74" s="319">
        <f>(L73*100)/39</f>
        <v/>
      </c>
      <c r="M74" s="319">
        <f>(M73*100)/39</f>
        <v/>
      </c>
      <c r="N74" s="319">
        <f>(N73*100)/39</f>
        <v/>
      </c>
      <c r="O74" s="319">
        <f>(O73*100)/39</f>
        <v/>
      </c>
      <c r="P74" s="319">
        <f>(P73*100)/39</f>
        <v/>
      </c>
      <c r="Q74" s="319">
        <f>(Q73*100)/39</f>
        <v/>
      </c>
      <c r="R74" s="319">
        <f>(R73*100)/39</f>
        <v/>
      </c>
      <c r="S74" s="319">
        <f>(S73*100)/39</f>
        <v/>
      </c>
      <c r="T74" s="319">
        <f>(T73*100)/39</f>
        <v/>
      </c>
      <c r="U74" s="319">
        <f>(U73*100)/39</f>
        <v/>
      </c>
      <c r="V74" s="319">
        <f>(V73*100)/39</f>
        <v/>
      </c>
      <c r="W74" s="319">
        <f>(W73*100)/39</f>
        <v/>
      </c>
      <c r="X74" s="319">
        <f>(X73*100)/39</f>
        <v/>
      </c>
      <c r="Y74" s="319">
        <f>(Y73*100)/39</f>
        <v/>
      </c>
      <c r="Z74" s="319">
        <f>(Z73*100)/39</f>
        <v/>
      </c>
      <c r="AA74" s="319">
        <f>(AA73*100)/39</f>
        <v/>
      </c>
      <c r="AB74" s="319">
        <f>(AB73*100)/39</f>
        <v/>
      </c>
      <c r="AC74" s="319">
        <f>(AC73*100)/37</f>
        <v/>
      </c>
      <c r="AD74" s="319">
        <f>(AD73*100)/37</f>
        <v/>
      </c>
      <c r="AE74" s="319">
        <f>(AE73*100)/37</f>
        <v/>
      </c>
    </row>
    <row r="75">
      <c r="B75" s="318" t="n"/>
      <c r="C75" s="318" t="n"/>
      <c r="D75" s="318" t="inlineStr">
        <is>
          <t>RIEGO DE VEGETALES</t>
        </is>
      </c>
      <c r="G75" s="319" t="inlineStr">
        <is>
          <t>&gt;15</t>
        </is>
      </c>
      <c r="H75" s="319" t="n"/>
      <c r="I75" s="319" t="n"/>
      <c r="J75" s="319" t="n"/>
      <c r="K75" s="319" t="n"/>
      <c r="L75" s="319" t="n"/>
      <c r="M75" s="319" t="n"/>
      <c r="N75" s="319" t="inlineStr">
        <is>
          <t>&gt;41</t>
        </is>
      </c>
      <c r="O75" s="319" t="inlineStr">
        <is>
          <t>&lt;58&gt;</t>
        </is>
      </c>
      <c r="P75" s="319" t="n"/>
      <c r="Q75" s="319" t="inlineStr">
        <is>
          <t>&lt;14&gt;</t>
        </is>
      </c>
      <c r="R75" s="319" t="n"/>
      <c r="S75" s="319" t="n"/>
      <c r="T75" s="319" t="n"/>
      <c r="U75" s="319" t="n"/>
      <c r="V75" s="319" t="n"/>
      <c r="W75" s="319" t="n"/>
      <c r="X75" s="319" t="n"/>
      <c r="Y75" s="319" t="n"/>
      <c r="Z75" s="319" t="n"/>
      <c r="AA75" s="319" t="n"/>
      <c r="AB75" s="319" t="n"/>
      <c r="AC75" s="319" t="n"/>
      <c r="AD75" s="319" t="n"/>
      <c r="AE75" s="319" t="n"/>
    </row>
    <row r="76">
      <c r="B76" s="318" t="n"/>
      <c r="C76" s="318" t="n"/>
      <c r="D76" s="318" t="inlineStr">
        <is>
          <t>CONSUMO DE ANIMALES</t>
        </is>
      </c>
      <c r="G76" s="319" t="inlineStr">
        <is>
          <t>&gt;1</t>
        </is>
      </c>
      <c r="H76" s="319" t="n"/>
      <c r="I76" s="319" t="n"/>
      <c r="J76" s="319" t="n"/>
      <c r="K76" s="319" t="n"/>
      <c r="L76" s="319" t="n"/>
      <c r="N76" s="319" t="inlineStr">
        <is>
          <t>&gt;34</t>
        </is>
      </c>
      <c r="P76" s="319" t="n"/>
      <c r="R76" s="319" t="n"/>
      <c r="S76" s="319" t="n"/>
      <c r="T76" s="319" t="n"/>
      <c r="U76" s="319" t="n"/>
      <c r="V76" s="319" t="n"/>
      <c r="W76" s="319" t="n"/>
      <c r="X76" s="319" t="n"/>
      <c r="Y76" s="319" t="n"/>
      <c r="Z76" s="319" t="n"/>
      <c r="AA76" s="319" t="n"/>
      <c r="AB76" s="319" t="n"/>
      <c r="AC76" s="319" t="n"/>
      <c r="AD76" s="319" t="n"/>
      <c r="AE76" s="319" t="n"/>
    </row>
    <row r="77">
      <c r="B77" s="318" t="n"/>
      <c r="C77" s="318" t="n"/>
      <c r="D77" s="318" t="inlineStr">
        <is>
          <t>HUMANO</t>
        </is>
      </c>
      <c r="G77" s="319" t="inlineStr">
        <is>
          <t>&gt;14</t>
        </is>
      </c>
      <c r="H77" s="319" t="n"/>
      <c r="I77" s="319" t="inlineStr">
        <is>
          <t>&gt;16</t>
        </is>
      </c>
      <c r="J77" s="319" t="n"/>
      <c r="K77" s="319" t="n">
        <v>0</v>
      </c>
      <c r="L77" s="319" t="n"/>
      <c r="M77" s="319" t="inlineStr">
        <is>
          <t>&gt;16</t>
        </is>
      </c>
      <c r="N77" s="319" t="inlineStr">
        <is>
          <t>&gt;12</t>
        </is>
      </c>
      <c r="O77" s="319" t="inlineStr">
        <is>
          <t>&lt;23&gt;</t>
        </is>
      </c>
      <c r="P77" s="319" t="n"/>
      <c r="Q77" s="319" t="inlineStr">
        <is>
          <t>&lt;16&gt;</t>
        </is>
      </c>
      <c r="R77" s="319" t="n"/>
      <c r="S77" s="319" t="inlineStr">
        <is>
          <t>&gt;4</t>
        </is>
      </c>
      <c r="T77" s="319" t="n"/>
      <c r="U77" s="319" t="n"/>
      <c r="V77" s="319" t="inlineStr">
        <is>
          <t>&gt;12</t>
        </is>
      </c>
      <c r="W77" s="319" t="n"/>
      <c r="X77" s="319" t="n"/>
      <c r="Y77" s="319" t="n"/>
      <c r="Z77" s="319" t="n"/>
      <c r="AA77" s="319" t="n"/>
      <c r="AB77" s="319" t="n"/>
      <c r="AC77" s="319" t="n"/>
      <c r="AD77" s="319" t="n"/>
      <c r="AE77" s="319" t="n"/>
    </row>
    <row r="78">
      <c r="B78" s="222" t="n"/>
      <c r="C78" s="318" t="n"/>
      <c r="E78" s="318" t="inlineStr">
        <is>
          <t>MAX</t>
        </is>
      </c>
      <c r="F78" s="318" t="n"/>
      <c r="G78" s="419">
        <f>MAX(G11:G70)</f>
        <v/>
      </c>
      <c r="H78" s="420">
        <f>MAX(H11:H70)</f>
        <v/>
      </c>
      <c r="I78" s="419">
        <f>MAX(I11:I70)</f>
        <v/>
      </c>
      <c r="J78" s="421">
        <f>MAX(J11:J70)</f>
        <v/>
      </c>
      <c r="K78" s="419">
        <f>MAX(K11:K70)</f>
        <v/>
      </c>
      <c r="L78" s="419">
        <f>MAX(L11:L70)</f>
        <v/>
      </c>
      <c r="M78" s="419">
        <f>MAX(M11:M70)</f>
        <v/>
      </c>
      <c r="N78" s="421">
        <f>MAX(N11:N70)</f>
        <v/>
      </c>
      <c r="O78" s="421">
        <f>MAX(O11:O70)</f>
        <v/>
      </c>
      <c r="P78" s="419">
        <f>MAX(P11:P70)</f>
        <v/>
      </c>
      <c r="Q78" s="421">
        <f>MAX(Q11:Q70)</f>
        <v/>
      </c>
      <c r="R78" s="421">
        <f>MAX(R11:R70)</f>
        <v/>
      </c>
      <c r="S78" s="420">
        <f>MAX(S11:S70)</f>
        <v/>
      </c>
      <c r="T78" s="420">
        <f>MAX(T11:T70)</f>
        <v/>
      </c>
      <c r="U78" s="419">
        <f>MAX(U11:U70)</f>
        <v/>
      </c>
      <c r="V78" s="419">
        <f>MAX(V11:V70)</f>
        <v/>
      </c>
      <c r="W78" s="419">
        <f>MAX(W11:W70)</f>
        <v/>
      </c>
      <c r="X78" s="419" t="n"/>
      <c r="Y78" s="419" t="n"/>
      <c r="Z78" s="419" t="n"/>
      <c r="AA78" s="419" t="n"/>
      <c r="AB78" s="419" t="n"/>
      <c r="AC78" s="419">
        <f>MAX(AC11:AC70)</f>
        <v/>
      </c>
      <c r="AD78" s="419">
        <f>MAX(AD11:AD70)</f>
        <v/>
      </c>
      <c r="AE78" s="419">
        <f>MAX(AE11:AE70)</f>
        <v/>
      </c>
    </row>
    <row r="79">
      <c r="B79" s="222" t="n"/>
      <c r="C79" s="318" t="n"/>
      <c r="E79" s="318" t="inlineStr">
        <is>
          <t>MIN</t>
        </is>
      </c>
      <c r="F79" s="318" t="n"/>
      <c r="G79" s="422">
        <f>MIN(G11:G70)</f>
        <v/>
      </c>
      <c r="H79" s="423">
        <f>MIN(H11:H70)</f>
        <v/>
      </c>
      <c r="I79" s="422">
        <f>MIN(I11:I70)</f>
        <v/>
      </c>
      <c r="J79" s="424">
        <f>MIN(J11:J70)</f>
        <v/>
      </c>
      <c r="K79" s="424">
        <f>MIN(K11:K70)</f>
        <v/>
      </c>
      <c r="L79" s="424">
        <f>MIN(L11:L70)</f>
        <v/>
      </c>
      <c r="M79" s="422">
        <f>MIN(M11:M70)</f>
        <v/>
      </c>
      <c r="N79" s="423">
        <f>MIN(N11:N70)</f>
        <v/>
      </c>
      <c r="O79" s="423">
        <f>MIN(O11:O70)</f>
        <v/>
      </c>
      <c r="P79" s="422">
        <f>MIN(P11:P70)</f>
        <v/>
      </c>
      <c r="Q79" s="424">
        <f>MIN(Q11:Q70)</f>
        <v/>
      </c>
      <c r="R79" s="423">
        <f>MIN(R11:R70)</f>
        <v/>
      </c>
      <c r="S79" s="423">
        <f>MIN(S11:S70)</f>
        <v/>
      </c>
      <c r="T79" s="423">
        <f>MIN(T11:T70)</f>
        <v/>
      </c>
      <c r="U79" s="422">
        <f>MIN(U11:U70)</f>
        <v/>
      </c>
      <c r="V79" s="422">
        <f>MIN(V11:V70)</f>
        <v/>
      </c>
      <c r="W79" s="422">
        <f>MIN(W11:W70)</f>
        <v/>
      </c>
      <c r="X79" s="423" t="n"/>
      <c r="Y79" s="423" t="n"/>
      <c r="Z79" s="423" t="n"/>
      <c r="AA79" s="423" t="n"/>
      <c r="AB79" s="423" t="n"/>
      <c r="AC79" s="423">
        <f>MIN(AC11:AC70)</f>
        <v/>
      </c>
      <c r="AD79" s="422">
        <f>MIN(AD11:AD70)</f>
        <v/>
      </c>
      <c r="AE79" s="422">
        <f>MIN(AE11:AE70)</f>
        <v/>
      </c>
    </row>
    <row r="80">
      <c r="AD80" s="314" t="n"/>
    </row>
    <row r="81" ht="18.75" customHeight="1"/>
    <row r="82" ht="15.75" customHeight="1"/>
    <row r="85" ht="24.75" customHeight="1"/>
    <row r="87" ht="13.5" customHeight="1">
      <c r="O87" s="2" t="n"/>
    </row>
    <row r="88" ht="19.5" customHeight="1">
      <c r="L88" s="300" t="n"/>
      <c r="N88" s="3" t="n"/>
      <c r="O88" s="3" t="n"/>
      <c r="P88" s="300" t="inlineStr">
        <is>
          <t>1 microsiemens/centímetro = 0.001 milisiemens/centímetro</t>
        </is>
      </c>
      <c r="Q88" s="300" t="n"/>
      <c r="R88" s="300" t="n"/>
    </row>
    <row r="90" ht="18" customHeight="1">
      <c r="O90" s="4" t="n"/>
    </row>
    <row r="91" ht="18" customHeight="1">
      <c r="L91" s="315" t="n"/>
      <c r="O91" s="1" t="n"/>
      <c r="P91" s="315" t="inlineStr">
        <is>
          <t>1 mho/centímetro = 1 siemens/centímetro</t>
        </is>
      </c>
      <c r="Q91" s="315" t="n"/>
      <c r="R91" s="315" t="n"/>
    </row>
    <row r="92">
      <c r="L92" s="5" t="inlineStr">
        <is>
          <t>1us</t>
        </is>
      </c>
      <c r="O92" s="316" t="n"/>
      <c r="P92" s="7" t="inlineStr">
        <is>
          <t>1 umho</t>
        </is>
      </c>
    </row>
    <row r="94">
      <c r="P94" s="316" t="n"/>
      <c r="S94" s="314" t="n"/>
      <c r="T94" s="314" t="n"/>
      <c r="U94" s="314" t="n"/>
      <c r="V94" s="314" t="n"/>
      <c r="W94" s="314" t="n"/>
      <c r="X94" s="314" t="n"/>
      <c r="Y94" s="314" t="n"/>
      <c r="Z94" s="314" t="n"/>
      <c r="AA94" s="314" t="n"/>
      <c r="AB94" s="314" t="n"/>
      <c r="AC94" s="314" t="n"/>
    </row>
  </sheetData>
  <mergeCells count="23">
    <mergeCell ref="Y6:Y10"/>
    <mergeCell ref="D76:F76"/>
    <mergeCell ref="E6:F7"/>
    <mergeCell ref="C6:D10"/>
    <mergeCell ref="B8:B9"/>
    <mergeCell ref="AC8:AE8"/>
    <mergeCell ref="D75:F75"/>
    <mergeCell ref="E8:F8"/>
    <mergeCell ref="O75:O76"/>
    <mergeCell ref="E10:F10"/>
    <mergeCell ref="AC9:AE9"/>
    <mergeCell ref="Z6:Z10"/>
    <mergeCell ref="E9:F9"/>
    <mergeCell ref="AB6:AB10"/>
    <mergeCell ref="M75:M76"/>
    <mergeCell ref="B71:Q71"/>
    <mergeCell ref="AA6:AA10"/>
    <mergeCell ref="B4:AE4"/>
    <mergeCell ref="P94:R94"/>
    <mergeCell ref="B72:M72"/>
    <mergeCell ref="Q75:Q76"/>
    <mergeCell ref="X6:X10"/>
    <mergeCell ref="D77:F77"/>
  </mergeCells>
  <pageMargins left="0.7" right="0.7" top="0.75" bottom="0.75" header="0.3" footer="0.3"/>
  <pageSetup orientation="portrait" paperSize="9" scale="1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Ramon Galvez Urrunaga</dc:creator>
  <dcterms:created xmlns:dcterms="http://purl.org/dc/terms/" xmlns:xsi="http://www.w3.org/2001/XMLSchema-instance" xsi:type="dcterms:W3CDTF">2024-05-23T19:52:07Z</dcterms:created>
  <dcterms:modified xmlns:dcterms="http://purl.org/dc/terms/" xmlns:xsi="http://www.w3.org/2001/XMLSchema-instance" xsi:type="dcterms:W3CDTF">2026-08-24T16:58:26Z</dcterms:modified>
  <cp:lastModifiedBy>Sistema Gestion Regantes</cp:lastModifiedBy>
</cp:coreProperties>
</file>